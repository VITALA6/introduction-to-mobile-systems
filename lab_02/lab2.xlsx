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danie 5 - Analiza r=2,3,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Zmienność λ i μ (r=2)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r=2,3,4'!$D$3:$D$34</f>
            </numRef>
          </val>
        </ser>
        <ser>
          <idx val="1"/>
          <order val="1"/>
          <tx>
            <strRef>
              <f>'Zadanie 5 - Analiza r=2,3,4'!E2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r=2,3,4'!$E$3:$E$34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os/min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Intensywność ruchu ρ (r=2)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r=2,3,4'!$F$3:$F$34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Kolejka (Q) i Czas (W) (r=2)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r=2,3,4'!H2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r=2,3,4'!$H$3:$H$34</f>
            </numRef>
          </val>
        </ser>
        <ser>
          <idx val="1"/>
          <order val="1"/>
          <tx>
            <strRef>
              <f>'Zadanie 5 - Analiza r=2,3,4'!I2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r=2,3,4'!$I$3:$I$34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Zmienność λ i μ (r=3)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r=2,3,4'!D56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r=2,3,4'!$D$57:$D$88</f>
            </numRef>
          </val>
        </ser>
        <ser>
          <idx val="1"/>
          <order val="1"/>
          <tx>
            <strRef>
              <f>'Zadanie 5 - Analiza r=2,3,4'!E56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r=2,3,4'!$E$57:$E$88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os/min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Intensywność ruchu ρ (r=3)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r=2,3,4'!F56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r=2,3,4'!$F$57:$F$88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Kolejka (Q) i Czas (W) (r=3)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r=2,3,4'!H56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r=2,3,4'!$H$57:$H$88</f>
            </numRef>
          </val>
        </ser>
        <ser>
          <idx val="1"/>
          <order val="1"/>
          <tx>
            <strRef>
              <f>'Zadanie 5 - Analiza r=2,3,4'!I56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r=2,3,4'!$I$57:$I$88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Zmienność λ i μ (r=4)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r=2,3,4'!D110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r=2,3,4'!$D$111:$D$142</f>
            </numRef>
          </val>
        </ser>
        <ser>
          <idx val="1"/>
          <order val="1"/>
          <tx>
            <strRef>
              <f>'Zadanie 5 - Analiza r=2,3,4'!E110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r=2,3,4'!$E$111:$E$142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os/min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Intensywność ruchu ρ (r=4)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r=2,3,4'!F110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r=2,3,4'!$F$111:$F$142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Kolejka (Q) i Czas (W) (r=4)</a:t>
            </a:r>
          </a:p>
        </rich>
      </tx>
    </title>
    <plotArea>
      <lineChart>
        <grouping val="standard"/>
        <ser>
          <idx val="0"/>
          <order val="0"/>
          <tx>
            <strRef>
              <f>'Zadanie 5 - Analiza r=2,3,4'!H110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r=2,3,4'!$H$111:$H$142</f>
            </numRef>
          </val>
        </ser>
        <ser>
          <idx val="1"/>
          <order val="1"/>
          <tx>
            <strRef>
              <f>'Zadanie 5 - Analiza r=2,3,4'!I110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'Zadanie 5 - Analiza r=2,3,4'!$I$111:$I$142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72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88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110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126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142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ANALIZA DLA LICZBY STANOWISK r = 2</t>
        </is>
      </c>
    </row>
    <row r="2">
      <c r="A2" s="2" t="inlineStr">
        <is>
          <t>Nr</t>
        </is>
      </c>
      <c r="B2" s="2" t="inlineStr">
        <is>
          <t>Przybycie (s)</t>
        </is>
      </c>
      <c r="C2" s="2" t="inlineStr">
        <is>
          <t>Obsługa (s)</t>
        </is>
      </c>
      <c r="D2" s="2" t="inlineStr">
        <is>
          <t>λ (os/min)</t>
        </is>
      </c>
      <c r="E2" s="2" t="inlineStr">
        <is>
          <t>μ (os/min)</t>
        </is>
      </c>
      <c r="F2" s="2" t="inlineStr">
        <is>
          <t>ρ</t>
        </is>
      </c>
      <c r="G2" s="2" t="inlineStr">
        <is>
          <t>P(n=0)</t>
        </is>
      </c>
      <c r="H2" s="2" t="inlineStr">
        <is>
          <t>Q (kol.)</t>
        </is>
      </c>
      <c r="I2" s="2" t="inlineStr">
        <is>
          <t>W (czek.)</t>
        </is>
      </c>
    </row>
    <row r="3">
      <c r="A3" t="n">
        <v>1</v>
      </c>
      <c r="B3" t="n">
        <v>0</v>
      </c>
      <c r="C3" t="n">
        <v>40</v>
      </c>
      <c r="D3">
        <f>IFERROR(60/AVERAGE($B$3:B3), 0)</f>
        <v/>
      </c>
      <c r="E3">
        <f>60/AVERAGE($C$3:C3)</f>
        <v/>
      </c>
      <c r="F3">
        <f>D3/E3</f>
        <v/>
      </c>
      <c r="G3">
        <f>IF(F3&lt;2, 1/(1 + F3 + (F3^2/(2*(1-(F3/2))))), "Niestabilny")</f>
        <v/>
      </c>
      <c r="H3">
        <f>IF(AND(ISNUMBER(G3), F3&lt;2), (G3*(F3^3))/(2*(1-(F3/2))^2), 0)</f>
        <v/>
      </c>
      <c r="I3">
        <f>IF(D3&gt;0, H3/D3, 0)</f>
        <v/>
      </c>
    </row>
    <row r="4">
      <c r="A4" t="n">
        <v>2</v>
      </c>
      <c r="B4" t="n">
        <v>6</v>
      </c>
      <c r="C4" t="n">
        <v>60</v>
      </c>
      <c r="D4">
        <f>IFERROR(60/AVERAGE($B$3:B4), 0)</f>
        <v/>
      </c>
      <c r="E4">
        <f>60/AVERAGE($C$3:C4)</f>
        <v/>
      </c>
      <c r="F4">
        <f>D4/E4</f>
        <v/>
      </c>
      <c r="G4">
        <f>IF(F4&lt;2, 1/(1 + F4 + (F4^2/(2*(1-(F4/2))))), "Niestabilny")</f>
        <v/>
      </c>
      <c r="H4">
        <f>IF(AND(ISNUMBER(G4), F4&lt;2), (G4*(F4^3))/(2*(1-(F4/2))^2), 0)</f>
        <v/>
      </c>
      <c r="I4">
        <f>IF(D4&gt;0, H4/D4, 0)</f>
        <v/>
      </c>
    </row>
    <row r="5">
      <c r="A5" t="n">
        <v>3</v>
      </c>
      <c r="B5" t="n">
        <v>40</v>
      </c>
      <c r="C5" t="n">
        <v>65</v>
      </c>
      <c r="D5">
        <f>IFERROR(60/AVERAGE($B$3:B5), 0)</f>
        <v/>
      </c>
      <c r="E5">
        <f>60/AVERAGE($C$3:C5)</f>
        <v/>
      </c>
      <c r="F5">
        <f>D5/E5</f>
        <v/>
      </c>
      <c r="G5">
        <f>IF(F5&lt;2, 1/(1 + F5 + (F5^2/(2*(1-(F5/2))))), "Niestabilny")</f>
        <v/>
      </c>
      <c r="H5">
        <f>IF(AND(ISNUMBER(G5), F5&lt;2), (G5*(F5^3))/(2*(1-(F5/2))^2), 0)</f>
        <v/>
      </c>
      <c r="I5">
        <f>IF(D5&gt;0, H5/D5, 0)</f>
        <v/>
      </c>
    </row>
    <row r="6">
      <c r="A6" t="n">
        <v>4</v>
      </c>
      <c r="B6" t="n">
        <v>30</v>
      </c>
      <c r="C6" t="n">
        <v>60</v>
      </c>
      <c r="D6">
        <f>IFERROR(60/AVERAGE($B$3:B6), 0)</f>
        <v/>
      </c>
      <c r="E6">
        <f>60/AVERAGE($C$3:C6)</f>
        <v/>
      </c>
      <c r="F6">
        <f>D6/E6</f>
        <v/>
      </c>
      <c r="G6">
        <f>IF(F6&lt;2, 1/(1 + F6 + (F6^2/(2*(1-(F6/2))))), "Niestabilny")</f>
        <v/>
      </c>
      <c r="H6">
        <f>IF(AND(ISNUMBER(G6), F6&lt;2), (G6*(F6^3))/(2*(1-(F6/2))^2), 0)</f>
        <v/>
      </c>
      <c r="I6">
        <f>IF(D6&gt;0, H6/D6, 0)</f>
        <v/>
      </c>
    </row>
    <row r="7">
      <c r="A7" t="n">
        <v>5</v>
      </c>
      <c r="B7" t="n">
        <v>50</v>
      </c>
      <c r="C7" t="n">
        <v>40</v>
      </c>
      <c r="D7">
        <f>IFERROR(60/AVERAGE($B$3:B7), 0)</f>
        <v/>
      </c>
      <c r="E7">
        <f>60/AVERAGE($C$3:C7)</f>
        <v/>
      </c>
      <c r="F7">
        <f>D7/E7</f>
        <v/>
      </c>
      <c r="G7">
        <f>IF(F7&lt;2, 1/(1 + F7 + (F7^2/(2*(1-(F7/2))))), "Niestabilny")</f>
        <v/>
      </c>
      <c r="H7">
        <f>IF(AND(ISNUMBER(G7), F7&lt;2), (G7*(F7^3))/(2*(1-(F7/2))^2), 0)</f>
        <v/>
      </c>
      <c r="I7">
        <f>IF(D7&gt;0, H7/D7, 0)</f>
        <v/>
      </c>
    </row>
    <row r="8">
      <c r="A8" t="n">
        <v>6</v>
      </c>
      <c r="B8" t="n">
        <v>30</v>
      </c>
      <c r="C8" t="n">
        <v>55</v>
      </c>
      <c r="D8">
        <f>IFERROR(60/AVERAGE($B$3:B8), 0)</f>
        <v/>
      </c>
      <c r="E8">
        <f>60/AVERAGE($C$3:C8)</f>
        <v/>
      </c>
      <c r="F8">
        <f>D8/E8</f>
        <v/>
      </c>
      <c r="G8">
        <f>IF(F8&lt;2, 1/(1 + F8 + (F8^2/(2*(1-(F8/2))))), "Niestabilny")</f>
        <v/>
      </c>
      <c r="H8">
        <f>IF(AND(ISNUMBER(G8), F8&lt;2), (G8*(F8^3))/(2*(1-(F8/2))^2), 0)</f>
        <v/>
      </c>
      <c r="I8">
        <f>IF(D8&gt;0, H8/D8, 0)</f>
        <v/>
      </c>
    </row>
    <row r="9">
      <c r="A9" t="n">
        <v>7</v>
      </c>
      <c r="B9" t="n">
        <v>25</v>
      </c>
      <c r="C9" t="n">
        <v>65</v>
      </c>
      <c r="D9">
        <f>IFERROR(60/AVERAGE($B$3:B9), 0)</f>
        <v/>
      </c>
      <c r="E9">
        <f>60/AVERAGE($C$3:C9)</f>
        <v/>
      </c>
      <c r="F9">
        <f>D9/E9</f>
        <v/>
      </c>
      <c r="G9">
        <f>IF(F9&lt;2, 1/(1 + F9 + (F9^2/(2*(1-(F9/2))))), "Niestabilny")</f>
        <v/>
      </c>
      <c r="H9">
        <f>IF(AND(ISNUMBER(G9), F9&lt;2), (G9*(F9^3))/(2*(1-(F9/2))^2), 0)</f>
        <v/>
      </c>
      <c r="I9">
        <f>IF(D9&gt;0, H9/D9, 0)</f>
        <v/>
      </c>
    </row>
    <row r="10">
      <c r="A10" t="n">
        <v>8</v>
      </c>
      <c r="B10" t="n">
        <v>5</v>
      </c>
      <c r="C10" t="n">
        <v>60</v>
      </c>
      <c r="D10">
        <f>IFERROR(60/AVERAGE($B$3:B10), 0)</f>
        <v/>
      </c>
      <c r="E10">
        <f>60/AVERAGE($C$3:C10)</f>
        <v/>
      </c>
      <c r="F10">
        <f>D10/E10</f>
        <v/>
      </c>
      <c r="G10">
        <f>IF(F10&lt;2, 1/(1 + F10 + (F10^2/(2*(1-(F10/2))))), "Niestabilny")</f>
        <v/>
      </c>
      <c r="H10">
        <f>IF(AND(ISNUMBER(G10), F10&lt;2), (G10*(F10^3))/(2*(1-(F10/2))^2), 0)</f>
        <v/>
      </c>
      <c r="I10">
        <f>IF(D10&gt;0, H10/D10, 0)</f>
        <v/>
      </c>
    </row>
    <row r="11">
      <c r="A11" t="n">
        <v>9</v>
      </c>
      <c r="B11" t="n">
        <v>15</v>
      </c>
      <c r="C11" t="n">
        <v>60</v>
      </c>
      <c r="D11">
        <f>IFERROR(60/AVERAGE($B$3:B11), 0)</f>
        <v/>
      </c>
      <c r="E11">
        <f>60/AVERAGE($C$3:C11)</f>
        <v/>
      </c>
      <c r="F11">
        <f>D11/E11</f>
        <v/>
      </c>
      <c r="G11">
        <f>IF(F11&lt;2, 1/(1 + F11 + (F11^2/(2*(1-(F11/2))))), "Niestabilny")</f>
        <v/>
      </c>
      <c r="H11">
        <f>IF(AND(ISNUMBER(G11), F11&lt;2), (G11*(F11^3))/(2*(1-(F11/2))^2), 0)</f>
        <v/>
      </c>
      <c r="I11">
        <f>IF(D11&gt;0, H11/D11, 0)</f>
        <v/>
      </c>
    </row>
    <row r="12">
      <c r="A12" t="n">
        <v>10</v>
      </c>
      <c r="B12" t="n">
        <v>15</v>
      </c>
      <c r="C12" t="n">
        <v>70</v>
      </c>
      <c r="D12">
        <f>IFERROR(60/AVERAGE($B$3:B12), 0)</f>
        <v/>
      </c>
      <c r="E12">
        <f>60/AVERAGE($C$3:C12)</f>
        <v/>
      </c>
      <c r="F12">
        <f>D12/E12</f>
        <v/>
      </c>
      <c r="G12">
        <f>IF(F12&lt;2, 1/(1 + F12 + (F12^2/(2*(1-(F12/2))))), "Niestabilny")</f>
        <v/>
      </c>
      <c r="H12">
        <f>IF(AND(ISNUMBER(G12), F12&lt;2), (G12*(F12^3))/(2*(1-(F12/2))^2), 0)</f>
        <v/>
      </c>
      <c r="I12">
        <f>IF(D12&gt;0, H12/D12, 0)</f>
        <v/>
      </c>
    </row>
    <row r="13">
      <c r="A13" t="n">
        <v>11</v>
      </c>
      <c r="B13" t="n">
        <v>10</v>
      </c>
      <c r="C13" t="n">
        <v>65</v>
      </c>
      <c r="D13">
        <f>IFERROR(60/AVERAGE($B$3:B13), 0)</f>
        <v/>
      </c>
      <c r="E13">
        <f>60/AVERAGE($C$3:C13)</f>
        <v/>
      </c>
      <c r="F13">
        <f>D13/E13</f>
        <v/>
      </c>
      <c r="G13">
        <f>IF(F13&lt;2, 1/(1 + F13 + (F13^2/(2*(1-(F13/2))))), "Niestabilny")</f>
        <v/>
      </c>
      <c r="H13">
        <f>IF(AND(ISNUMBER(G13), F13&lt;2), (G13*(F13^3))/(2*(1-(F13/2))^2), 0)</f>
        <v/>
      </c>
      <c r="I13">
        <f>IF(D13&gt;0, H13/D13, 0)</f>
        <v/>
      </c>
    </row>
    <row r="14">
      <c r="A14" t="n">
        <v>12</v>
      </c>
      <c r="B14" t="n">
        <v>30</v>
      </c>
      <c r="C14" t="n">
        <v>70</v>
      </c>
      <c r="D14">
        <f>IFERROR(60/AVERAGE($B$3:B14), 0)</f>
        <v/>
      </c>
      <c r="E14">
        <f>60/AVERAGE($C$3:C14)</f>
        <v/>
      </c>
      <c r="F14">
        <f>D14/E14</f>
        <v/>
      </c>
      <c r="G14">
        <f>IF(F14&lt;2, 1/(1 + F14 + (F14^2/(2*(1-(F14/2))))), "Niestabilny")</f>
        <v/>
      </c>
      <c r="H14">
        <f>IF(AND(ISNUMBER(G14), F14&lt;2), (G14*(F14^3))/(2*(1-(F14/2))^2), 0)</f>
        <v/>
      </c>
      <c r="I14">
        <f>IF(D14&gt;0, H14/D14, 0)</f>
        <v/>
      </c>
    </row>
    <row r="15">
      <c r="A15" t="n">
        <v>13</v>
      </c>
      <c r="B15" t="n">
        <v>40</v>
      </c>
      <c r="C15" t="n">
        <v>65</v>
      </c>
      <c r="D15">
        <f>IFERROR(60/AVERAGE($B$3:B15), 0)</f>
        <v/>
      </c>
      <c r="E15">
        <f>60/AVERAGE($C$3:C15)</f>
        <v/>
      </c>
      <c r="F15">
        <f>D15/E15</f>
        <v/>
      </c>
      <c r="G15">
        <f>IF(F15&lt;2, 1/(1 + F15 + (F15^2/(2*(1-(F15/2))))), "Niestabilny")</f>
        <v/>
      </c>
      <c r="H15">
        <f>IF(AND(ISNUMBER(G15), F15&lt;2), (G15*(F15^3))/(2*(1-(F15/2))^2), 0)</f>
        <v/>
      </c>
      <c r="I15">
        <f>IF(D15&gt;0, H15/D15, 0)</f>
        <v/>
      </c>
    </row>
    <row r="16">
      <c r="A16" t="n">
        <v>14</v>
      </c>
      <c r="B16" t="n">
        <v>40</v>
      </c>
      <c r="C16" t="n">
        <v>75</v>
      </c>
      <c r="D16">
        <f>IFERROR(60/AVERAGE($B$3:B16), 0)</f>
        <v/>
      </c>
      <c r="E16">
        <f>60/AVERAGE($C$3:C16)</f>
        <v/>
      </c>
      <c r="F16">
        <f>D16/E16</f>
        <v/>
      </c>
      <c r="G16">
        <f>IF(F16&lt;2, 1/(1 + F16 + (F16^2/(2*(1-(F16/2))))), "Niestabilny")</f>
        <v/>
      </c>
      <c r="H16">
        <f>IF(AND(ISNUMBER(G16), F16&lt;2), (G16*(F16^3))/(2*(1-(F16/2))^2), 0)</f>
        <v/>
      </c>
      <c r="I16">
        <f>IF(D16&gt;0, H16/D16, 0)</f>
        <v/>
      </c>
    </row>
    <row r="17">
      <c r="A17" t="n">
        <v>15</v>
      </c>
      <c r="B17" t="n">
        <v>40</v>
      </c>
      <c r="C17" t="n">
        <v>60</v>
      </c>
      <c r="D17">
        <f>IFERROR(60/AVERAGE($B$3:B17), 0)</f>
        <v/>
      </c>
      <c r="E17">
        <f>60/AVERAGE($C$3:C17)</f>
        <v/>
      </c>
      <c r="F17">
        <f>D17/E17</f>
        <v/>
      </c>
      <c r="G17">
        <f>IF(F17&lt;2, 1/(1 + F17 + (F17^2/(2*(1-(F17/2))))), "Niestabilny")</f>
        <v/>
      </c>
      <c r="H17">
        <f>IF(AND(ISNUMBER(G17), F17&lt;2), (G17*(F17^3))/(2*(1-(F17/2))^2), 0)</f>
        <v/>
      </c>
      <c r="I17">
        <f>IF(D17&gt;0, H17/D17, 0)</f>
        <v/>
      </c>
    </row>
    <row r="18">
      <c r="A18" t="n">
        <v>16</v>
      </c>
      <c r="B18" t="n">
        <v>50</v>
      </c>
      <c r="C18" t="n">
        <v>50</v>
      </c>
      <c r="D18">
        <f>IFERROR(60/AVERAGE($B$3:B18), 0)</f>
        <v/>
      </c>
      <c r="E18">
        <f>60/AVERAGE($C$3:C18)</f>
        <v/>
      </c>
      <c r="F18">
        <f>D18/E18</f>
        <v/>
      </c>
      <c r="G18">
        <f>IF(F18&lt;2, 1/(1 + F18 + (F18^2/(2*(1-(F18/2))))), "Niestabilny")</f>
        <v/>
      </c>
      <c r="H18">
        <f>IF(AND(ISNUMBER(G18), F18&lt;2), (G18*(F18^3))/(2*(1-(F18/2))^2), 0)</f>
        <v/>
      </c>
      <c r="I18">
        <f>IF(D18&gt;0, H18/D18, 0)</f>
        <v/>
      </c>
    </row>
    <row r="19">
      <c r="A19" t="n">
        <v>17</v>
      </c>
      <c r="B19" t="n">
        <v>50</v>
      </c>
      <c r="C19" t="n">
        <v>65</v>
      </c>
      <c r="D19">
        <f>IFERROR(60/AVERAGE($B$3:B19), 0)</f>
        <v/>
      </c>
      <c r="E19">
        <f>60/AVERAGE($C$3:C19)</f>
        <v/>
      </c>
      <c r="F19">
        <f>D19/E19</f>
        <v/>
      </c>
      <c r="G19">
        <f>IF(F19&lt;2, 1/(1 + F19 + (F19^2/(2*(1-(F19/2))))), "Niestabilny")</f>
        <v/>
      </c>
      <c r="H19">
        <f>IF(AND(ISNUMBER(G19), F19&lt;2), (G19*(F19^3))/(2*(1-(F19/2))^2), 0)</f>
        <v/>
      </c>
      <c r="I19">
        <f>IF(D19&gt;0, H19/D19, 0)</f>
        <v/>
      </c>
    </row>
    <row r="20">
      <c r="A20" t="n">
        <v>18</v>
      </c>
      <c r="B20" t="n">
        <v>55</v>
      </c>
      <c r="C20" t="n">
        <v>65</v>
      </c>
      <c r="D20">
        <f>IFERROR(60/AVERAGE($B$3:B20), 0)</f>
        <v/>
      </c>
      <c r="E20">
        <f>60/AVERAGE($C$3:C20)</f>
        <v/>
      </c>
      <c r="F20">
        <f>D20/E20</f>
        <v/>
      </c>
      <c r="G20">
        <f>IF(F20&lt;2, 1/(1 + F20 + (F20^2/(2*(1-(F20/2))))), "Niestabilny")</f>
        <v/>
      </c>
      <c r="H20">
        <f>IF(AND(ISNUMBER(G20), F20&lt;2), (G20*(F20^3))/(2*(1-(F20/2))^2), 0)</f>
        <v/>
      </c>
      <c r="I20">
        <f>IF(D20&gt;0, H20/D20, 0)</f>
        <v/>
      </c>
    </row>
    <row r="21">
      <c r="A21" t="n">
        <v>19</v>
      </c>
      <c r="B21" t="n">
        <v>45</v>
      </c>
      <c r="C21" t="n">
        <v>65</v>
      </c>
      <c r="D21">
        <f>IFERROR(60/AVERAGE($B$3:B21), 0)</f>
        <v/>
      </c>
      <c r="E21">
        <f>60/AVERAGE($C$3:C21)</f>
        <v/>
      </c>
      <c r="F21">
        <f>D21/E21</f>
        <v/>
      </c>
      <c r="G21">
        <f>IF(F21&lt;2, 1/(1 + F21 + (F21^2/(2*(1-(F21/2))))), "Niestabilny")</f>
        <v/>
      </c>
      <c r="H21">
        <f>IF(AND(ISNUMBER(G21), F21&lt;2), (G21*(F21^3))/(2*(1-(F21/2))^2), 0)</f>
        <v/>
      </c>
      <c r="I21">
        <f>IF(D21&gt;0, H21/D21, 0)</f>
        <v/>
      </c>
    </row>
    <row r="22">
      <c r="A22" t="n">
        <v>20</v>
      </c>
      <c r="B22" t="n">
        <v>55</v>
      </c>
      <c r="C22" t="n">
        <v>75</v>
      </c>
      <c r="D22">
        <f>IFERROR(60/AVERAGE($B$3:B22), 0)</f>
        <v/>
      </c>
      <c r="E22">
        <f>60/AVERAGE($C$3:C22)</f>
        <v/>
      </c>
      <c r="F22">
        <f>D22/E22</f>
        <v/>
      </c>
      <c r="G22">
        <f>IF(F22&lt;2, 1/(1 + F22 + (F22^2/(2*(1-(F22/2))))), "Niestabilny")</f>
        <v/>
      </c>
      <c r="H22">
        <f>IF(AND(ISNUMBER(G22), F22&lt;2), (G22*(F22^3))/(2*(1-(F22/2))^2), 0)</f>
        <v/>
      </c>
      <c r="I22">
        <f>IF(D22&gt;0, H22/D22, 0)</f>
        <v/>
      </c>
    </row>
    <row r="23">
      <c r="A23" t="n">
        <v>21</v>
      </c>
      <c r="B23" t="n">
        <v>55</v>
      </c>
      <c r="C23" t="n">
        <v>70</v>
      </c>
      <c r="D23">
        <f>IFERROR(60/AVERAGE($B$3:B23), 0)</f>
        <v/>
      </c>
      <c r="E23">
        <f>60/AVERAGE($C$3:C23)</f>
        <v/>
      </c>
      <c r="F23">
        <f>D23/E23</f>
        <v/>
      </c>
      <c r="G23">
        <f>IF(F23&lt;2, 1/(1 + F23 + (F23^2/(2*(1-(F23/2))))), "Niestabilny")</f>
        <v/>
      </c>
      <c r="H23">
        <f>IF(AND(ISNUMBER(G23), F23&lt;2), (G23*(F23^3))/(2*(1-(F23/2))^2), 0)</f>
        <v/>
      </c>
      <c r="I23">
        <f>IF(D23&gt;0, H23/D23, 0)</f>
        <v/>
      </c>
    </row>
    <row r="24">
      <c r="A24" t="n">
        <v>22</v>
      </c>
      <c r="B24" t="n">
        <v>50</v>
      </c>
      <c r="C24" t="n">
        <v>60</v>
      </c>
      <c r="D24">
        <f>IFERROR(60/AVERAGE($B$3:B24), 0)</f>
        <v/>
      </c>
      <c r="E24">
        <f>60/AVERAGE($C$3:C24)</f>
        <v/>
      </c>
      <c r="F24">
        <f>D24/E24</f>
        <v/>
      </c>
      <c r="G24">
        <f>IF(F24&lt;2, 1/(1 + F24 + (F24^2/(2*(1-(F24/2))))), "Niestabilny")</f>
        <v/>
      </c>
      <c r="H24">
        <f>IF(AND(ISNUMBER(G24), F24&lt;2), (G24*(F24^3))/(2*(1-(F24/2))^2), 0)</f>
        <v/>
      </c>
      <c r="I24">
        <f>IF(D24&gt;0, H24/D24, 0)</f>
        <v/>
      </c>
    </row>
    <row r="25">
      <c r="A25" t="n">
        <v>23</v>
      </c>
      <c r="B25" t="n">
        <v>45</v>
      </c>
      <c r="C25" t="n">
        <v>65</v>
      </c>
      <c r="D25">
        <f>IFERROR(60/AVERAGE($B$3:B25), 0)</f>
        <v/>
      </c>
      <c r="E25">
        <f>60/AVERAGE($C$3:C25)</f>
        <v/>
      </c>
      <c r="F25">
        <f>D25/E25</f>
        <v/>
      </c>
      <c r="G25">
        <f>IF(F25&lt;2, 1/(1 + F25 + (F25^2/(2*(1-(F25/2))))), "Niestabilny")</f>
        <v/>
      </c>
      <c r="H25">
        <f>IF(AND(ISNUMBER(G25), F25&lt;2), (G25*(F25^3))/(2*(1-(F25/2))^2), 0)</f>
        <v/>
      </c>
      <c r="I25">
        <f>IF(D25&gt;0, H25/D25, 0)</f>
        <v/>
      </c>
    </row>
    <row r="26">
      <c r="A26" t="n">
        <v>24</v>
      </c>
      <c r="B26" t="n">
        <v>45</v>
      </c>
      <c r="C26" t="n">
        <v>62</v>
      </c>
      <c r="D26">
        <f>IFERROR(60/AVERAGE($B$3:B26), 0)</f>
        <v/>
      </c>
      <c r="E26">
        <f>60/AVERAGE($C$3:C26)</f>
        <v/>
      </c>
      <c r="F26">
        <f>D26/E26</f>
        <v/>
      </c>
      <c r="G26">
        <f>IF(F26&lt;2, 1/(1 + F26 + (F26^2/(2*(1-(F26/2))))), "Niestabilny")</f>
        <v/>
      </c>
      <c r="H26">
        <f>IF(AND(ISNUMBER(G26), F26&lt;2), (G26*(F26^3))/(2*(1-(F26/2))^2), 0)</f>
        <v/>
      </c>
      <c r="I26">
        <f>IF(D26&gt;0, H26/D26, 0)</f>
        <v/>
      </c>
    </row>
    <row r="27">
      <c r="A27" t="n">
        <v>25</v>
      </c>
      <c r="B27" t="n">
        <v>50</v>
      </c>
      <c r="C27" t="n">
        <v>60</v>
      </c>
      <c r="D27">
        <f>IFERROR(60/AVERAGE($B$3:B27), 0)</f>
        <v/>
      </c>
      <c r="E27">
        <f>60/AVERAGE($C$3:C27)</f>
        <v/>
      </c>
      <c r="F27">
        <f>D27/E27</f>
        <v/>
      </c>
      <c r="G27">
        <f>IF(F27&lt;2, 1/(1 + F27 + (F27^2/(2*(1-(F27/2))))), "Niestabilny")</f>
        <v/>
      </c>
      <c r="H27">
        <f>IF(AND(ISNUMBER(G27), F27&lt;2), (G27*(F27^3))/(2*(1-(F27/2))^2), 0)</f>
        <v/>
      </c>
      <c r="I27">
        <f>IF(D27&gt;0, H27/D27, 0)</f>
        <v/>
      </c>
    </row>
    <row r="28">
      <c r="A28" t="n">
        <v>26</v>
      </c>
      <c r="B28" t="n">
        <v>10</v>
      </c>
      <c r="C28" t="n">
        <v>40</v>
      </c>
      <c r="D28">
        <f>IFERROR(60/AVERAGE($B$3:B28), 0)</f>
        <v/>
      </c>
      <c r="E28">
        <f>60/AVERAGE($C$3:C28)</f>
        <v/>
      </c>
      <c r="F28">
        <f>D28/E28</f>
        <v/>
      </c>
      <c r="G28">
        <f>IF(F28&lt;2, 1/(1 + F28 + (F28^2/(2*(1-(F28/2))))), "Niestabilny")</f>
        <v/>
      </c>
      <c r="H28">
        <f>IF(AND(ISNUMBER(G28), F28&lt;2), (G28*(F28^3))/(2*(1-(F28/2))^2), 0)</f>
        <v/>
      </c>
      <c r="I28">
        <f>IF(D28&gt;0, H28/D28, 0)</f>
        <v/>
      </c>
    </row>
    <row r="29">
      <c r="A29" t="n">
        <v>27</v>
      </c>
      <c r="B29" t="n">
        <v>25</v>
      </c>
      <c r="C29" t="n">
        <v>55</v>
      </c>
      <c r="D29">
        <f>IFERROR(60/AVERAGE($B$3:B29), 0)</f>
        <v/>
      </c>
      <c r="E29">
        <f>60/AVERAGE($C$3:C29)</f>
        <v/>
      </c>
      <c r="F29">
        <f>D29/E29</f>
        <v/>
      </c>
      <c r="G29">
        <f>IF(F29&lt;2, 1/(1 + F29 + (F29^2/(2*(1-(F29/2))))), "Niestabilny")</f>
        <v/>
      </c>
      <c r="H29">
        <f>IF(AND(ISNUMBER(G29), F29&lt;2), (G29*(F29^3))/(2*(1-(F29/2))^2), 0)</f>
        <v/>
      </c>
      <c r="I29">
        <f>IF(D29&gt;0, H29/D29, 0)</f>
        <v/>
      </c>
    </row>
    <row r="30">
      <c r="A30" t="n">
        <v>28</v>
      </c>
      <c r="B30" t="n">
        <v>25</v>
      </c>
      <c r="C30" t="n">
        <v>75</v>
      </c>
      <c r="D30">
        <f>IFERROR(60/AVERAGE($B$3:B30), 0)</f>
        <v/>
      </c>
      <c r="E30">
        <f>60/AVERAGE($C$3:C30)</f>
        <v/>
      </c>
      <c r="F30">
        <f>D30/E30</f>
        <v/>
      </c>
      <c r="G30">
        <f>IF(F30&lt;2, 1/(1 + F30 + (F30^2/(2*(1-(F30/2))))), "Niestabilny")</f>
        <v/>
      </c>
      <c r="H30">
        <f>IF(AND(ISNUMBER(G30), F30&lt;2), (G30*(F30^3))/(2*(1-(F30/2))^2), 0)</f>
        <v/>
      </c>
      <c r="I30">
        <f>IF(D30&gt;0, H30/D30, 0)</f>
        <v/>
      </c>
    </row>
    <row r="31">
      <c r="A31" t="n">
        <v>29</v>
      </c>
      <c r="B31" t="n">
        <v>55</v>
      </c>
      <c r="C31" t="n">
        <v>60</v>
      </c>
      <c r="D31">
        <f>IFERROR(60/AVERAGE($B$3:B31), 0)</f>
        <v/>
      </c>
      <c r="E31">
        <f>60/AVERAGE($C$3:C31)</f>
        <v/>
      </c>
      <c r="F31">
        <f>D31/E31</f>
        <v/>
      </c>
      <c r="G31">
        <f>IF(F31&lt;2, 1/(1 + F31 + (F31^2/(2*(1-(F31/2))))), "Niestabilny")</f>
        <v/>
      </c>
      <c r="H31">
        <f>IF(AND(ISNUMBER(G31), F31&lt;2), (G31*(F31^3))/(2*(1-(F31/2))^2), 0)</f>
        <v/>
      </c>
      <c r="I31">
        <f>IF(D31&gt;0, H31/D31, 0)</f>
        <v/>
      </c>
    </row>
    <row r="32">
      <c r="A32" t="n">
        <v>30</v>
      </c>
      <c r="B32" t="n">
        <v>55</v>
      </c>
      <c r="C32" t="n">
        <v>40</v>
      </c>
      <c r="D32">
        <f>IFERROR(60/AVERAGE($B$3:B32), 0)</f>
        <v/>
      </c>
      <c r="E32">
        <f>60/AVERAGE($C$3:C32)</f>
        <v/>
      </c>
      <c r="F32">
        <f>D32/E32</f>
        <v/>
      </c>
      <c r="G32">
        <f>IF(F32&lt;2, 1/(1 + F32 + (F32^2/(2*(1-(F32/2))))), "Niestabilny")</f>
        <v/>
      </c>
      <c r="H32">
        <f>IF(AND(ISNUMBER(G32), F32&lt;2), (G32*(F32^3))/(2*(1-(F32/2))^2), 0)</f>
        <v/>
      </c>
      <c r="I32">
        <f>IF(D32&gt;0, H32/D32, 0)</f>
        <v/>
      </c>
    </row>
    <row r="33">
      <c r="A33" t="n">
        <v>31</v>
      </c>
      <c r="B33" t="n">
        <v>40</v>
      </c>
      <c r="C33" t="n">
        <v>70</v>
      </c>
      <c r="D33">
        <f>IFERROR(60/AVERAGE($B$3:B33), 0)</f>
        <v/>
      </c>
      <c r="E33">
        <f>60/AVERAGE($C$3:C33)</f>
        <v/>
      </c>
      <c r="F33">
        <f>D33/E33</f>
        <v/>
      </c>
      <c r="G33">
        <f>IF(F33&lt;2, 1/(1 + F33 + (F33^2/(2*(1-(F33/2))))), "Niestabilny")</f>
        <v/>
      </c>
      <c r="H33">
        <f>IF(AND(ISNUMBER(G33), F33&lt;2), (G33*(F33^3))/(2*(1-(F33/2))^2), 0)</f>
        <v/>
      </c>
      <c r="I33">
        <f>IF(D33&gt;0, H33/D33, 0)</f>
        <v/>
      </c>
    </row>
    <row r="34">
      <c r="A34" t="n">
        <v>32</v>
      </c>
      <c r="B34" t="n">
        <v>50</v>
      </c>
      <c r="C34" t="n">
        <v>60</v>
      </c>
      <c r="D34">
        <f>IFERROR(60/AVERAGE($B$3:B34), 0)</f>
        <v/>
      </c>
      <c r="E34">
        <f>60/AVERAGE($C$3:C34)</f>
        <v/>
      </c>
      <c r="F34">
        <f>D34/E34</f>
        <v/>
      </c>
      <c r="G34">
        <f>IF(F34&lt;2, 1/(1 + F34 + (F34^2/(2*(1-(F34/2))))), "Niestabilny")</f>
        <v/>
      </c>
      <c r="H34">
        <f>IF(AND(ISNUMBER(G34), F34&lt;2), (G34*(F34^3))/(2*(1-(F34/2))^2), 0)</f>
        <v/>
      </c>
      <c r="I34">
        <f>IF(D34&gt;0, H34/D34, 0)</f>
        <v/>
      </c>
    </row>
    <row r="55">
      <c r="A55" s="1" t="inlineStr">
        <is>
          <t>ANALIZA DLA LICZBY STANOWISK r = 3</t>
        </is>
      </c>
    </row>
    <row r="56">
      <c r="A56" s="2" t="inlineStr">
        <is>
          <t>Nr</t>
        </is>
      </c>
      <c r="B56" s="2" t="inlineStr">
        <is>
          <t>Przybycie (s)</t>
        </is>
      </c>
      <c r="C56" s="2" t="inlineStr">
        <is>
          <t>Obsługa (s)</t>
        </is>
      </c>
      <c r="D56" s="2" t="inlineStr">
        <is>
          <t>λ (os/min)</t>
        </is>
      </c>
      <c r="E56" s="2" t="inlineStr">
        <is>
          <t>μ (os/min)</t>
        </is>
      </c>
      <c r="F56" s="2" t="inlineStr">
        <is>
          <t>ρ</t>
        </is>
      </c>
      <c r="G56" s="2" t="inlineStr">
        <is>
          <t>P(n=0)</t>
        </is>
      </c>
      <c r="H56" s="2" t="inlineStr">
        <is>
          <t>Q (kol.)</t>
        </is>
      </c>
      <c r="I56" s="2" t="inlineStr">
        <is>
          <t>W (czek.)</t>
        </is>
      </c>
    </row>
    <row r="57">
      <c r="A57" t="n">
        <v>1</v>
      </c>
      <c r="B57" t="n">
        <v>0</v>
      </c>
      <c r="C57" t="n">
        <v>40</v>
      </c>
      <c r="D57">
        <f>IFERROR(60/AVERAGE($B$57:B57), 0)</f>
        <v/>
      </c>
      <c r="E57">
        <f>60/AVERAGE($C$57:C57)</f>
        <v/>
      </c>
      <c r="F57">
        <f>D57/E57</f>
        <v/>
      </c>
      <c r="G57">
        <f>IF(F57&lt;3, 1/(1 + F57 + (F57^2/(2*(1-(F57/3))))), "Niestabilny")</f>
        <v/>
      </c>
      <c r="H57">
        <f>IF(AND(ISNUMBER(G57), F57&lt;3), (G57*(F57^3))/(2*(1-(F57/3))^2), 0)</f>
        <v/>
      </c>
      <c r="I57">
        <f>IF(D57&gt;0, H57/D57, 0)</f>
        <v/>
      </c>
    </row>
    <row r="58">
      <c r="A58" t="n">
        <v>2</v>
      </c>
      <c r="B58" t="n">
        <v>6</v>
      </c>
      <c r="C58" t="n">
        <v>60</v>
      </c>
      <c r="D58">
        <f>IFERROR(60/AVERAGE($B$57:B58), 0)</f>
        <v/>
      </c>
      <c r="E58">
        <f>60/AVERAGE($C$57:C58)</f>
        <v/>
      </c>
      <c r="F58">
        <f>D58/E58</f>
        <v/>
      </c>
      <c r="G58">
        <f>IF(F58&lt;3, 1/(1 + F58 + (F58^2/(2*(1-(F58/3))))), "Niestabilny")</f>
        <v/>
      </c>
      <c r="H58">
        <f>IF(AND(ISNUMBER(G58), F58&lt;3), (G58*(F58^3))/(2*(1-(F58/3))^2), 0)</f>
        <v/>
      </c>
      <c r="I58">
        <f>IF(D58&gt;0, H58/D58, 0)</f>
        <v/>
      </c>
    </row>
    <row r="59">
      <c r="A59" t="n">
        <v>3</v>
      </c>
      <c r="B59" t="n">
        <v>40</v>
      </c>
      <c r="C59" t="n">
        <v>65</v>
      </c>
      <c r="D59">
        <f>IFERROR(60/AVERAGE($B$57:B59), 0)</f>
        <v/>
      </c>
      <c r="E59">
        <f>60/AVERAGE($C$57:C59)</f>
        <v/>
      </c>
      <c r="F59">
        <f>D59/E59</f>
        <v/>
      </c>
      <c r="G59">
        <f>IF(F59&lt;3, 1/(1 + F59 + (F59^2/(2*(1-(F59/3))))), "Niestabilny")</f>
        <v/>
      </c>
      <c r="H59">
        <f>IF(AND(ISNUMBER(G59), F59&lt;3), (G59*(F59^3))/(2*(1-(F59/3))^2), 0)</f>
        <v/>
      </c>
      <c r="I59">
        <f>IF(D59&gt;0, H59/D59, 0)</f>
        <v/>
      </c>
    </row>
    <row r="60">
      <c r="A60" t="n">
        <v>4</v>
      </c>
      <c r="B60" t="n">
        <v>30</v>
      </c>
      <c r="C60" t="n">
        <v>60</v>
      </c>
      <c r="D60">
        <f>IFERROR(60/AVERAGE($B$57:B60), 0)</f>
        <v/>
      </c>
      <c r="E60">
        <f>60/AVERAGE($C$57:C60)</f>
        <v/>
      </c>
      <c r="F60">
        <f>D60/E60</f>
        <v/>
      </c>
      <c r="G60">
        <f>IF(F60&lt;3, 1/(1 + F60 + (F60^2/(2*(1-(F60/3))))), "Niestabilny")</f>
        <v/>
      </c>
      <c r="H60">
        <f>IF(AND(ISNUMBER(G60), F60&lt;3), (G60*(F60^3))/(2*(1-(F60/3))^2), 0)</f>
        <v/>
      </c>
      <c r="I60">
        <f>IF(D60&gt;0, H60/D60, 0)</f>
        <v/>
      </c>
    </row>
    <row r="61">
      <c r="A61" t="n">
        <v>5</v>
      </c>
      <c r="B61" t="n">
        <v>50</v>
      </c>
      <c r="C61" t="n">
        <v>40</v>
      </c>
      <c r="D61">
        <f>IFERROR(60/AVERAGE($B$57:B61), 0)</f>
        <v/>
      </c>
      <c r="E61">
        <f>60/AVERAGE($C$57:C61)</f>
        <v/>
      </c>
      <c r="F61">
        <f>D61/E61</f>
        <v/>
      </c>
      <c r="G61">
        <f>IF(F61&lt;3, 1/(1 + F61 + (F61^2/(2*(1-(F61/3))))), "Niestabilny")</f>
        <v/>
      </c>
      <c r="H61">
        <f>IF(AND(ISNUMBER(G61), F61&lt;3), (G61*(F61^3))/(2*(1-(F61/3))^2), 0)</f>
        <v/>
      </c>
      <c r="I61">
        <f>IF(D61&gt;0, H61/D61, 0)</f>
        <v/>
      </c>
    </row>
    <row r="62">
      <c r="A62" t="n">
        <v>6</v>
      </c>
      <c r="B62" t="n">
        <v>30</v>
      </c>
      <c r="C62" t="n">
        <v>55</v>
      </c>
      <c r="D62">
        <f>IFERROR(60/AVERAGE($B$57:B62), 0)</f>
        <v/>
      </c>
      <c r="E62">
        <f>60/AVERAGE($C$57:C62)</f>
        <v/>
      </c>
      <c r="F62">
        <f>D62/E62</f>
        <v/>
      </c>
      <c r="G62">
        <f>IF(F62&lt;3, 1/(1 + F62 + (F62^2/(2*(1-(F62/3))))), "Niestabilny")</f>
        <v/>
      </c>
      <c r="H62">
        <f>IF(AND(ISNUMBER(G62), F62&lt;3), (G62*(F62^3))/(2*(1-(F62/3))^2), 0)</f>
        <v/>
      </c>
      <c r="I62">
        <f>IF(D62&gt;0, H62/D62, 0)</f>
        <v/>
      </c>
    </row>
    <row r="63">
      <c r="A63" t="n">
        <v>7</v>
      </c>
      <c r="B63" t="n">
        <v>25</v>
      </c>
      <c r="C63" t="n">
        <v>65</v>
      </c>
      <c r="D63">
        <f>IFERROR(60/AVERAGE($B$57:B63), 0)</f>
        <v/>
      </c>
      <c r="E63">
        <f>60/AVERAGE($C$57:C63)</f>
        <v/>
      </c>
      <c r="F63">
        <f>D63/E63</f>
        <v/>
      </c>
      <c r="G63">
        <f>IF(F63&lt;3, 1/(1 + F63 + (F63^2/(2*(1-(F63/3))))), "Niestabilny")</f>
        <v/>
      </c>
      <c r="H63">
        <f>IF(AND(ISNUMBER(G63), F63&lt;3), (G63*(F63^3))/(2*(1-(F63/3))^2), 0)</f>
        <v/>
      </c>
      <c r="I63">
        <f>IF(D63&gt;0, H63/D63, 0)</f>
        <v/>
      </c>
    </row>
    <row r="64">
      <c r="A64" t="n">
        <v>8</v>
      </c>
      <c r="B64" t="n">
        <v>5</v>
      </c>
      <c r="C64" t="n">
        <v>60</v>
      </c>
      <c r="D64">
        <f>IFERROR(60/AVERAGE($B$57:B64), 0)</f>
        <v/>
      </c>
      <c r="E64">
        <f>60/AVERAGE($C$57:C64)</f>
        <v/>
      </c>
      <c r="F64">
        <f>D64/E64</f>
        <v/>
      </c>
      <c r="G64">
        <f>IF(F64&lt;3, 1/(1 + F64 + (F64^2/(2*(1-(F64/3))))), "Niestabilny")</f>
        <v/>
      </c>
      <c r="H64">
        <f>IF(AND(ISNUMBER(G64), F64&lt;3), (G64*(F64^3))/(2*(1-(F64/3))^2), 0)</f>
        <v/>
      </c>
      <c r="I64">
        <f>IF(D64&gt;0, H64/D64, 0)</f>
        <v/>
      </c>
    </row>
    <row r="65">
      <c r="A65" t="n">
        <v>9</v>
      </c>
      <c r="B65" t="n">
        <v>15</v>
      </c>
      <c r="C65" t="n">
        <v>60</v>
      </c>
      <c r="D65">
        <f>IFERROR(60/AVERAGE($B$57:B65), 0)</f>
        <v/>
      </c>
      <c r="E65">
        <f>60/AVERAGE($C$57:C65)</f>
        <v/>
      </c>
      <c r="F65">
        <f>D65/E65</f>
        <v/>
      </c>
      <c r="G65">
        <f>IF(F65&lt;3, 1/(1 + F65 + (F65^2/(2*(1-(F65/3))))), "Niestabilny")</f>
        <v/>
      </c>
      <c r="H65">
        <f>IF(AND(ISNUMBER(G65), F65&lt;3), (G65*(F65^3))/(2*(1-(F65/3))^2), 0)</f>
        <v/>
      </c>
      <c r="I65">
        <f>IF(D65&gt;0, H65/D65, 0)</f>
        <v/>
      </c>
    </row>
    <row r="66">
      <c r="A66" t="n">
        <v>10</v>
      </c>
      <c r="B66" t="n">
        <v>15</v>
      </c>
      <c r="C66" t="n">
        <v>70</v>
      </c>
      <c r="D66">
        <f>IFERROR(60/AVERAGE($B$57:B66), 0)</f>
        <v/>
      </c>
      <c r="E66">
        <f>60/AVERAGE($C$57:C66)</f>
        <v/>
      </c>
      <c r="F66">
        <f>D66/E66</f>
        <v/>
      </c>
      <c r="G66">
        <f>IF(F66&lt;3, 1/(1 + F66 + (F66^2/(2*(1-(F66/3))))), "Niestabilny")</f>
        <v/>
      </c>
      <c r="H66">
        <f>IF(AND(ISNUMBER(G66), F66&lt;3), (G66*(F66^3))/(2*(1-(F66/3))^2), 0)</f>
        <v/>
      </c>
      <c r="I66">
        <f>IF(D66&gt;0, H66/D66, 0)</f>
        <v/>
      </c>
    </row>
    <row r="67">
      <c r="A67" t="n">
        <v>11</v>
      </c>
      <c r="B67" t="n">
        <v>10</v>
      </c>
      <c r="C67" t="n">
        <v>65</v>
      </c>
      <c r="D67">
        <f>IFERROR(60/AVERAGE($B$57:B67), 0)</f>
        <v/>
      </c>
      <c r="E67">
        <f>60/AVERAGE($C$57:C67)</f>
        <v/>
      </c>
      <c r="F67">
        <f>D67/E67</f>
        <v/>
      </c>
      <c r="G67">
        <f>IF(F67&lt;3, 1/(1 + F67 + (F67^2/(2*(1-(F67/3))))), "Niestabilny")</f>
        <v/>
      </c>
      <c r="H67">
        <f>IF(AND(ISNUMBER(G67), F67&lt;3), (G67*(F67^3))/(2*(1-(F67/3))^2), 0)</f>
        <v/>
      </c>
      <c r="I67">
        <f>IF(D67&gt;0, H67/D67, 0)</f>
        <v/>
      </c>
    </row>
    <row r="68">
      <c r="A68" t="n">
        <v>12</v>
      </c>
      <c r="B68" t="n">
        <v>30</v>
      </c>
      <c r="C68" t="n">
        <v>70</v>
      </c>
      <c r="D68">
        <f>IFERROR(60/AVERAGE($B$57:B68), 0)</f>
        <v/>
      </c>
      <c r="E68">
        <f>60/AVERAGE($C$57:C68)</f>
        <v/>
      </c>
      <c r="F68">
        <f>D68/E68</f>
        <v/>
      </c>
      <c r="G68">
        <f>IF(F68&lt;3, 1/(1 + F68 + (F68^2/(2*(1-(F68/3))))), "Niestabilny")</f>
        <v/>
      </c>
      <c r="H68">
        <f>IF(AND(ISNUMBER(G68), F68&lt;3), (G68*(F68^3))/(2*(1-(F68/3))^2), 0)</f>
        <v/>
      </c>
      <c r="I68">
        <f>IF(D68&gt;0, H68/D68, 0)</f>
        <v/>
      </c>
    </row>
    <row r="69">
      <c r="A69" t="n">
        <v>13</v>
      </c>
      <c r="B69" t="n">
        <v>40</v>
      </c>
      <c r="C69" t="n">
        <v>65</v>
      </c>
      <c r="D69">
        <f>IFERROR(60/AVERAGE($B$57:B69), 0)</f>
        <v/>
      </c>
      <c r="E69">
        <f>60/AVERAGE($C$57:C69)</f>
        <v/>
      </c>
      <c r="F69">
        <f>D69/E69</f>
        <v/>
      </c>
      <c r="G69">
        <f>IF(F69&lt;3, 1/(1 + F69 + (F69^2/(2*(1-(F69/3))))), "Niestabilny")</f>
        <v/>
      </c>
      <c r="H69">
        <f>IF(AND(ISNUMBER(G69), F69&lt;3), (G69*(F69^3))/(2*(1-(F69/3))^2), 0)</f>
        <v/>
      </c>
      <c r="I69">
        <f>IF(D69&gt;0, H69/D69, 0)</f>
        <v/>
      </c>
    </row>
    <row r="70">
      <c r="A70" t="n">
        <v>14</v>
      </c>
      <c r="B70" t="n">
        <v>40</v>
      </c>
      <c r="C70" t="n">
        <v>75</v>
      </c>
      <c r="D70">
        <f>IFERROR(60/AVERAGE($B$57:B70), 0)</f>
        <v/>
      </c>
      <c r="E70">
        <f>60/AVERAGE($C$57:C70)</f>
        <v/>
      </c>
      <c r="F70">
        <f>D70/E70</f>
        <v/>
      </c>
      <c r="G70">
        <f>IF(F70&lt;3, 1/(1 + F70 + (F70^2/(2*(1-(F70/3))))), "Niestabilny")</f>
        <v/>
      </c>
      <c r="H70">
        <f>IF(AND(ISNUMBER(G70), F70&lt;3), (G70*(F70^3))/(2*(1-(F70/3))^2), 0)</f>
        <v/>
      </c>
      <c r="I70">
        <f>IF(D70&gt;0, H70/D70, 0)</f>
        <v/>
      </c>
    </row>
    <row r="71">
      <c r="A71" t="n">
        <v>15</v>
      </c>
      <c r="B71" t="n">
        <v>40</v>
      </c>
      <c r="C71" t="n">
        <v>60</v>
      </c>
      <c r="D71">
        <f>IFERROR(60/AVERAGE($B$57:B71), 0)</f>
        <v/>
      </c>
      <c r="E71">
        <f>60/AVERAGE($C$57:C71)</f>
        <v/>
      </c>
      <c r="F71">
        <f>D71/E71</f>
        <v/>
      </c>
      <c r="G71">
        <f>IF(F71&lt;3, 1/(1 + F71 + (F71^2/(2*(1-(F71/3))))), "Niestabilny")</f>
        <v/>
      </c>
      <c r="H71">
        <f>IF(AND(ISNUMBER(G71), F71&lt;3), (G71*(F71^3))/(2*(1-(F71/3))^2), 0)</f>
        <v/>
      </c>
      <c r="I71">
        <f>IF(D71&gt;0, H71/D71, 0)</f>
        <v/>
      </c>
    </row>
    <row r="72">
      <c r="A72" t="n">
        <v>16</v>
      </c>
      <c r="B72" t="n">
        <v>50</v>
      </c>
      <c r="C72" t="n">
        <v>50</v>
      </c>
      <c r="D72">
        <f>IFERROR(60/AVERAGE($B$57:B72), 0)</f>
        <v/>
      </c>
      <c r="E72">
        <f>60/AVERAGE($C$57:C72)</f>
        <v/>
      </c>
      <c r="F72">
        <f>D72/E72</f>
        <v/>
      </c>
      <c r="G72">
        <f>IF(F72&lt;3, 1/(1 + F72 + (F72^2/(2*(1-(F72/3))))), "Niestabilny")</f>
        <v/>
      </c>
      <c r="H72">
        <f>IF(AND(ISNUMBER(G72), F72&lt;3), (G72*(F72^3))/(2*(1-(F72/3))^2), 0)</f>
        <v/>
      </c>
      <c r="I72">
        <f>IF(D72&gt;0, H72/D72, 0)</f>
        <v/>
      </c>
    </row>
    <row r="73">
      <c r="A73" t="n">
        <v>17</v>
      </c>
      <c r="B73" t="n">
        <v>50</v>
      </c>
      <c r="C73" t="n">
        <v>65</v>
      </c>
      <c r="D73">
        <f>IFERROR(60/AVERAGE($B$57:B73), 0)</f>
        <v/>
      </c>
      <c r="E73">
        <f>60/AVERAGE($C$57:C73)</f>
        <v/>
      </c>
      <c r="F73">
        <f>D73/E73</f>
        <v/>
      </c>
      <c r="G73">
        <f>IF(F73&lt;3, 1/(1 + F73 + (F73^2/(2*(1-(F73/3))))), "Niestabilny")</f>
        <v/>
      </c>
      <c r="H73">
        <f>IF(AND(ISNUMBER(G73), F73&lt;3), (G73*(F73^3))/(2*(1-(F73/3))^2), 0)</f>
        <v/>
      </c>
      <c r="I73">
        <f>IF(D73&gt;0, H73/D73, 0)</f>
        <v/>
      </c>
    </row>
    <row r="74">
      <c r="A74" t="n">
        <v>18</v>
      </c>
      <c r="B74" t="n">
        <v>55</v>
      </c>
      <c r="C74" t="n">
        <v>65</v>
      </c>
      <c r="D74">
        <f>IFERROR(60/AVERAGE($B$57:B74), 0)</f>
        <v/>
      </c>
      <c r="E74">
        <f>60/AVERAGE($C$57:C74)</f>
        <v/>
      </c>
      <c r="F74">
        <f>D74/E74</f>
        <v/>
      </c>
      <c r="G74">
        <f>IF(F74&lt;3, 1/(1 + F74 + (F74^2/(2*(1-(F74/3))))), "Niestabilny")</f>
        <v/>
      </c>
      <c r="H74">
        <f>IF(AND(ISNUMBER(G74), F74&lt;3), (G74*(F74^3))/(2*(1-(F74/3))^2), 0)</f>
        <v/>
      </c>
      <c r="I74">
        <f>IF(D74&gt;0, H74/D74, 0)</f>
        <v/>
      </c>
    </row>
    <row r="75">
      <c r="A75" t="n">
        <v>19</v>
      </c>
      <c r="B75" t="n">
        <v>45</v>
      </c>
      <c r="C75" t="n">
        <v>65</v>
      </c>
      <c r="D75">
        <f>IFERROR(60/AVERAGE($B$57:B75), 0)</f>
        <v/>
      </c>
      <c r="E75">
        <f>60/AVERAGE($C$57:C75)</f>
        <v/>
      </c>
      <c r="F75">
        <f>D75/E75</f>
        <v/>
      </c>
      <c r="G75">
        <f>IF(F75&lt;3, 1/(1 + F75 + (F75^2/(2*(1-(F75/3))))), "Niestabilny")</f>
        <v/>
      </c>
      <c r="H75">
        <f>IF(AND(ISNUMBER(G75), F75&lt;3), (G75*(F75^3))/(2*(1-(F75/3))^2), 0)</f>
        <v/>
      </c>
      <c r="I75">
        <f>IF(D75&gt;0, H75/D75, 0)</f>
        <v/>
      </c>
    </row>
    <row r="76">
      <c r="A76" t="n">
        <v>20</v>
      </c>
      <c r="B76" t="n">
        <v>55</v>
      </c>
      <c r="C76" t="n">
        <v>75</v>
      </c>
      <c r="D76">
        <f>IFERROR(60/AVERAGE($B$57:B76), 0)</f>
        <v/>
      </c>
      <c r="E76">
        <f>60/AVERAGE($C$57:C76)</f>
        <v/>
      </c>
      <c r="F76">
        <f>D76/E76</f>
        <v/>
      </c>
      <c r="G76">
        <f>IF(F76&lt;3, 1/(1 + F76 + (F76^2/(2*(1-(F76/3))))), "Niestabilny")</f>
        <v/>
      </c>
      <c r="H76">
        <f>IF(AND(ISNUMBER(G76), F76&lt;3), (G76*(F76^3))/(2*(1-(F76/3))^2), 0)</f>
        <v/>
      </c>
      <c r="I76">
        <f>IF(D76&gt;0, H76/D76, 0)</f>
        <v/>
      </c>
    </row>
    <row r="77">
      <c r="A77" t="n">
        <v>21</v>
      </c>
      <c r="B77" t="n">
        <v>55</v>
      </c>
      <c r="C77" t="n">
        <v>70</v>
      </c>
      <c r="D77">
        <f>IFERROR(60/AVERAGE($B$57:B77), 0)</f>
        <v/>
      </c>
      <c r="E77">
        <f>60/AVERAGE($C$57:C77)</f>
        <v/>
      </c>
      <c r="F77">
        <f>D77/E77</f>
        <v/>
      </c>
      <c r="G77">
        <f>IF(F77&lt;3, 1/(1 + F77 + (F77^2/(2*(1-(F77/3))))), "Niestabilny")</f>
        <v/>
      </c>
      <c r="H77">
        <f>IF(AND(ISNUMBER(G77), F77&lt;3), (G77*(F77^3))/(2*(1-(F77/3))^2), 0)</f>
        <v/>
      </c>
      <c r="I77">
        <f>IF(D77&gt;0, H77/D77, 0)</f>
        <v/>
      </c>
    </row>
    <row r="78">
      <c r="A78" t="n">
        <v>22</v>
      </c>
      <c r="B78" t="n">
        <v>50</v>
      </c>
      <c r="C78" t="n">
        <v>60</v>
      </c>
      <c r="D78">
        <f>IFERROR(60/AVERAGE($B$57:B78), 0)</f>
        <v/>
      </c>
      <c r="E78">
        <f>60/AVERAGE($C$57:C78)</f>
        <v/>
      </c>
      <c r="F78">
        <f>D78/E78</f>
        <v/>
      </c>
      <c r="G78">
        <f>IF(F78&lt;3, 1/(1 + F78 + (F78^2/(2*(1-(F78/3))))), "Niestabilny")</f>
        <v/>
      </c>
      <c r="H78">
        <f>IF(AND(ISNUMBER(G78), F78&lt;3), (G78*(F78^3))/(2*(1-(F78/3))^2), 0)</f>
        <v/>
      </c>
      <c r="I78">
        <f>IF(D78&gt;0, H78/D78, 0)</f>
        <v/>
      </c>
    </row>
    <row r="79">
      <c r="A79" t="n">
        <v>23</v>
      </c>
      <c r="B79" t="n">
        <v>45</v>
      </c>
      <c r="C79" t="n">
        <v>65</v>
      </c>
      <c r="D79">
        <f>IFERROR(60/AVERAGE($B$57:B79), 0)</f>
        <v/>
      </c>
      <c r="E79">
        <f>60/AVERAGE($C$57:C79)</f>
        <v/>
      </c>
      <c r="F79">
        <f>D79/E79</f>
        <v/>
      </c>
      <c r="G79">
        <f>IF(F79&lt;3, 1/(1 + F79 + (F79^2/(2*(1-(F79/3))))), "Niestabilny")</f>
        <v/>
      </c>
      <c r="H79">
        <f>IF(AND(ISNUMBER(G79), F79&lt;3), (G79*(F79^3))/(2*(1-(F79/3))^2), 0)</f>
        <v/>
      </c>
      <c r="I79">
        <f>IF(D79&gt;0, H79/D79, 0)</f>
        <v/>
      </c>
    </row>
    <row r="80">
      <c r="A80" t="n">
        <v>24</v>
      </c>
      <c r="B80" t="n">
        <v>45</v>
      </c>
      <c r="C80" t="n">
        <v>62</v>
      </c>
      <c r="D80">
        <f>IFERROR(60/AVERAGE($B$57:B80), 0)</f>
        <v/>
      </c>
      <c r="E80">
        <f>60/AVERAGE($C$57:C80)</f>
        <v/>
      </c>
      <c r="F80">
        <f>D80/E80</f>
        <v/>
      </c>
      <c r="G80">
        <f>IF(F80&lt;3, 1/(1 + F80 + (F80^2/(2*(1-(F80/3))))), "Niestabilny")</f>
        <v/>
      </c>
      <c r="H80">
        <f>IF(AND(ISNUMBER(G80), F80&lt;3), (G80*(F80^3))/(2*(1-(F80/3))^2), 0)</f>
        <v/>
      </c>
      <c r="I80">
        <f>IF(D80&gt;0, H80/D80, 0)</f>
        <v/>
      </c>
    </row>
    <row r="81">
      <c r="A81" t="n">
        <v>25</v>
      </c>
      <c r="B81" t="n">
        <v>50</v>
      </c>
      <c r="C81" t="n">
        <v>60</v>
      </c>
      <c r="D81">
        <f>IFERROR(60/AVERAGE($B$57:B81), 0)</f>
        <v/>
      </c>
      <c r="E81">
        <f>60/AVERAGE($C$57:C81)</f>
        <v/>
      </c>
      <c r="F81">
        <f>D81/E81</f>
        <v/>
      </c>
      <c r="G81">
        <f>IF(F81&lt;3, 1/(1 + F81 + (F81^2/(2*(1-(F81/3))))), "Niestabilny")</f>
        <v/>
      </c>
      <c r="H81">
        <f>IF(AND(ISNUMBER(G81), F81&lt;3), (G81*(F81^3))/(2*(1-(F81/3))^2), 0)</f>
        <v/>
      </c>
      <c r="I81">
        <f>IF(D81&gt;0, H81/D81, 0)</f>
        <v/>
      </c>
    </row>
    <row r="82">
      <c r="A82" t="n">
        <v>26</v>
      </c>
      <c r="B82" t="n">
        <v>10</v>
      </c>
      <c r="C82" t="n">
        <v>40</v>
      </c>
      <c r="D82">
        <f>IFERROR(60/AVERAGE($B$57:B82), 0)</f>
        <v/>
      </c>
      <c r="E82">
        <f>60/AVERAGE($C$57:C82)</f>
        <v/>
      </c>
      <c r="F82">
        <f>D82/E82</f>
        <v/>
      </c>
      <c r="G82">
        <f>IF(F82&lt;3, 1/(1 + F82 + (F82^2/(2*(1-(F82/3))))), "Niestabilny")</f>
        <v/>
      </c>
      <c r="H82">
        <f>IF(AND(ISNUMBER(G82), F82&lt;3), (G82*(F82^3))/(2*(1-(F82/3))^2), 0)</f>
        <v/>
      </c>
      <c r="I82">
        <f>IF(D82&gt;0, H82/D82, 0)</f>
        <v/>
      </c>
    </row>
    <row r="83">
      <c r="A83" t="n">
        <v>27</v>
      </c>
      <c r="B83" t="n">
        <v>25</v>
      </c>
      <c r="C83" t="n">
        <v>55</v>
      </c>
      <c r="D83">
        <f>IFERROR(60/AVERAGE($B$57:B83), 0)</f>
        <v/>
      </c>
      <c r="E83">
        <f>60/AVERAGE($C$57:C83)</f>
        <v/>
      </c>
      <c r="F83">
        <f>D83/E83</f>
        <v/>
      </c>
      <c r="G83">
        <f>IF(F83&lt;3, 1/(1 + F83 + (F83^2/(2*(1-(F83/3))))), "Niestabilny")</f>
        <v/>
      </c>
      <c r="H83">
        <f>IF(AND(ISNUMBER(G83), F83&lt;3), (G83*(F83^3))/(2*(1-(F83/3))^2), 0)</f>
        <v/>
      </c>
      <c r="I83">
        <f>IF(D83&gt;0, H83/D83, 0)</f>
        <v/>
      </c>
    </row>
    <row r="84">
      <c r="A84" t="n">
        <v>28</v>
      </c>
      <c r="B84" t="n">
        <v>25</v>
      </c>
      <c r="C84" t="n">
        <v>75</v>
      </c>
      <c r="D84">
        <f>IFERROR(60/AVERAGE($B$57:B84), 0)</f>
        <v/>
      </c>
      <c r="E84">
        <f>60/AVERAGE($C$57:C84)</f>
        <v/>
      </c>
      <c r="F84">
        <f>D84/E84</f>
        <v/>
      </c>
      <c r="G84">
        <f>IF(F84&lt;3, 1/(1 + F84 + (F84^2/(2*(1-(F84/3))))), "Niestabilny")</f>
        <v/>
      </c>
      <c r="H84">
        <f>IF(AND(ISNUMBER(G84), F84&lt;3), (G84*(F84^3))/(2*(1-(F84/3))^2), 0)</f>
        <v/>
      </c>
      <c r="I84">
        <f>IF(D84&gt;0, H84/D84, 0)</f>
        <v/>
      </c>
    </row>
    <row r="85">
      <c r="A85" t="n">
        <v>29</v>
      </c>
      <c r="B85" t="n">
        <v>55</v>
      </c>
      <c r="C85" t="n">
        <v>60</v>
      </c>
      <c r="D85">
        <f>IFERROR(60/AVERAGE($B$57:B85), 0)</f>
        <v/>
      </c>
      <c r="E85">
        <f>60/AVERAGE($C$57:C85)</f>
        <v/>
      </c>
      <c r="F85">
        <f>D85/E85</f>
        <v/>
      </c>
      <c r="G85">
        <f>IF(F85&lt;3, 1/(1 + F85 + (F85^2/(2*(1-(F85/3))))), "Niestabilny")</f>
        <v/>
      </c>
      <c r="H85">
        <f>IF(AND(ISNUMBER(G85), F85&lt;3), (G85*(F85^3))/(2*(1-(F85/3))^2), 0)</f>
        <v/>
      </c>
      <c r="I85">
        <f>IF(D85&gt;0, H85/D85, 0)</f>
        <v/>
      </c>
    </row>
    <row r="86">
      <c r="A86" t="n">
        <v>30</v>
      </c>
      <c r="B86" t="n">
        <v>55</v>
      </c>
      <c r="C86" t="n">
        <v>40</v>
      </c>
      <c r="D86">
        <f>IFERROR(60/AVERAGE($B$57:B86), 0)</f>
        <v/>
      </c>
      <c r="E86">
        <f>60/AVERAGE($C$57:C86)</f>
        <v/>
      </c>
      <c r="F86">
        <f>D86/E86</f>
        <v/>
      </c>
      <c r="G86">
        <f>IF(F86&lt;3, 1/(1 + F86 + (F86^2/(2*(1-(F86/3))))), "Niestabilny")</f>
        <v/>
      </c>
      <c r="H86">
        <f>IF(AND(ISNUMBER(G86), F86&lt;3), (G86*(F86^3))/(2*(1-(F86/3))^2), 0)</f>
        <v/>
      </c>
      <c r="I86">
        <f>IF(D86&gt;0, H86/D86, 0)</f>
        <v/>
      </c>
    </row>
    <row r="87">
      <c r="A87" t="n">
        <v>31</v>
      </c>
      <c r="B87" t="n">
        <v>40</v>
      </c>
      <c r="C87" t="n">
        <v>70</v>
      </c>
      <c r="D87">
        <f>IFERROR(60/AVERAGE($B$57:B87), 0)</f>
        <v/>
      </c>
      <c r="E87">
        <f>60/AVERAGE($C$57:C87)</f>
        <v/>
      </c>
      <c r="F87">
        <f>D87/E87</f>
        <v/>
      </c>
      <c r="G87">
        <f>IF(F87&lt;3, 1/(1 + F87 + (F87^2/(2*(1-(F87/3))))), "Niestabilny")</f>
        <v/>
      </c>
      <c r="H87">
        <f>IF(AND(ISNUMBER(G87), F87&lt;3), (G87*(F87^3))/(2*(1-(F87/3))^2), 0)</f>
        <v/>
      </c>
      <c r="I87">
        <f>IF(D87&gt;0, H87/D87, 0)</f>
        <v/>
      </c>
    </row>
    <row r="88">
      <c r="A88" t="n">
        <v>32</v>
      </c>
      <c r="B88" t="n">
        <v>50</v>
      </c>
      <c r="C88" t="n">
        <v>60</v>
      </c>
      <c r="D88">
        <f>IFERROR(60/AVERAGE($B$57:B88), 0)</f>
        <v/>
      </c>
      <c r="E88">
        <f>60/AVERAGE($C$57:C88)</f>
        <v/>
      </c>
      <c r="F88">
        <f>D88/E88</f>
        <v/>
      </c>
      <c r="G88">
        <f>IF(F88&lt;3, 1/(1 + F88 + (F88^2/(2*(1-(F88/3))))), "Niestabilny")</f>
        <v/>
      </c>
      <c r="H88">
        <f>IF(AND(ISNUMBER(G88), F88&lt;3), (G88*(F88^3))/(2*(1-(F88/3))^2), 0)</f>
        <v/>
      </c>
      <c r="I88">
        <f>IF(D88&gt;0, H88/D88, 0)</f>
        <v/>
      </c>
    </row>
    <row r="109">
      <c r="A109" s="1" t="inlineStr">
        <is>
          <t>ANALIZA DLA LICZBY STANOWISK r = 4</t>
        </is>
      </c>
    </row>
    <row r="110">
      <c r="A110" s="2" t="inlineStr">
        <is>
          <t>Nr</t>
        </is>
      </c>
      <c r="B110" s="2" t="inlineStr">
        <is>
          <t>Przybycie (s)</t>
        </is>
      </c>
      <c r="C110" s="2" t="inlineStr">
        <is>
          <t>Obsługa (s)</t>
        </is>
      </c>
      <c r="D110" s="2" t="inlineStr">
        <is>
          <t>λ (os/min)</t>
        </is>
      </c>
      <c r="E110" s="2" t="inlineStr">
        <is>
          <t>μ (os/min)</t>
        </is>
      </c>
      <c r="F110" s="2" t="inlineStr">
        <is>
          <t>ρ</t>
        </is>
      </c>
      <c r="G110" s="2" t="inlineStr">
        <is>
          <t>P(n=0)</t>
        </is>
      </c>
      <c r="H110" s="2" t="inlineStr">
        <is>
          <t>Q (kol.)</t>
        </is>
      </c>
      <c r="I110" s="2" t="inlineStr">
        <is>
          <t>W (czek.)</t>
        </is>
      </c>
    </row>
    <row r="111">
      <c r="A111" t="n">
        <v>1</v>
      </c>
      <c r="B111" t="n">
        <v>0</v>
      </c>
      <c r="C111" t="n">
        <v>40</v>
      </c>
      <c r="D111">
        <f>IFERROR(60/AVERAGE($B$111:B111), 0)</f>
        <v/>
      </c>
      <c r="E111">
        <f>60/AVERAGE($C$111:C111)</f>
        <v/>
      </c>
      <c r="F111">
        <f>D111/E111</f>
        <v/>
      </c>
      <c r="G111">
        <f>IF(F111&lt;4, 1/(1 + F111 + (F111^2/(2*(1-(F111/4))))), "Niestabilny")</f>
        <v/>
      </c>
      <c r="H111">
        <f>IF(AND(ISNUMBER(G111), F111&lt;4), (G111*(F111^3))/(2*(1-(F111/4))^2), 0)</f>
        <v/>
      </c>
      <c r="I111">
        <f>IF(D111&gt;0, H111/D111, 0)</f>
        <v/>
      </c>
    </row>
    <row r="112">
      <c r="A112" t="n">
        <v>2</v>
      </c>
      <c r="B112" t="n">
        <v>6</v>
      </c>
      <c r="C112" t="n">
        <v>60</v>
      </c>
      <c r="D112">
        <f>IFERROR(60/AVERAGE($B$111:B112), 0)</f>
        <v/>
      </c>
      <c r="E112">
        <f>60/AVERAGE($C$111:C112)</f>
        <v/>
      </c>
      <c r="F112">
        <f>D112/E112</f>
        <v/>
      </c>
      <c r="G112">
        <f>IF(F112&lt;4, 1/(1 + F112 + (F112^2/(2*(1-(F112/4))))), "Niestabilny")</f>
        <v/>
      </c>
      <c r="H112">
        <f>IF(AND(ISNUMBER(G112), F112&lt;4), (G112*(F112^3))/(2*(1-(F112/4))^2), 0)</f>
        <v/>
      </c>
      <c r="I112">
        <f>IF(D112&gt;0, H112/D112, 0)</f>
        <v/>
      </c>
    </row>
    <row r="113">
      <c r="A113" t="n">
        <v>3</v>
      </c>
      <c r="B113" t="n">
        <v>40</v>
      </c>
      <c r="C113" t="n">
        <v>65</v>
      </c>
      <c r="D113">
        <f>IFERROR(60/AVERAGE($B$111:B113), 0)</f>
        <v/>
      </c>
      <c r="E113">
        <f>60/AVERAGE($C$111:C113)</f>
        <v/>
      </c>
      <c r="F113">
        <f>D113/E113</f>
        <v/>
      </c>
      <c r="G113">
        <f>IF(F113&lt;4, 1/(1 + F113 + (F113^2/(2*(1-(F113/4))))), "Niestabilny")</f>
        <v/>
      </c>
      <c r="H113">
        <f>IF(AND(ISNUMBER(G113), F113&lt;4), (G113*(F113^3))/(2*(1-(F113/4))^2), 0)</f>
        <v/>
      </c>
      <c r="I113">
        <f>IF(D113&gt;0, H113/D113, 0)</f>
        <v/>
      </c>
    </row>
    <row r="114">
      <c r="A114" t="n">
        <v>4</v>
      </c>
      <c r="B114" t="n">
        <v>30</v>
      </c>
      <c r="C114" t="n">
        <v>60</v>
      </c>
      <c r="D114">
        <f>IFERROR(60/AVERAGE($B$111:B114), 0)</f>
        <v/>
      </c>
      <c r="E114">
        <f>60/AVERAGE($C$111:C114)</f>
        <v/>
      </c>
      <c r="F114">
        <f>D114/E114</f>
        <v/>
      </c>
      <c r="G114">
        <f>IF(F114&lt;4, 1/(1 + F114 + (F114^2/(2*(1-(F114/4))))), "Niestabilny")</f>
        <v/>
      </c>
      <c r="H114">
        <f>IF(AND(ISNUMBER(G114), F114&lt;4), (G114*(F114^3))/(2*(1-(F114/4))^2), 0)</f>
        <v/>
      </c>
      <c r="I114">
        <f>IF(D114&gt;0, H114/D114, 0)</f>
        <v/>
      </c>
    </row>
    <row r="115">
      <c r="A115" t="n">
        <v>5</v>
      </c>
      <c r="B115" t="n">
        <v>50</v>
      </c>
      <c r="C115" t="n">
        <v>40</v>
      </c>
      <c r="D115">
        <f>IFERROR(60/AVERAGE($B$111:B115), 0)</f>
        <v/>
      </c>
      <c r="E115">
        <f>60/AVERAGE($C$111:C115)</f>
        <v/>
      </c>
      <c r="F115">
        <f>D115/E115</f>
        <v/>
      </c>
      <c r="G115">
        <f>IF(F115&lt;4, 1/(1 + F115 + (F115^2/(2*(1-(F115/4))))), "Niestabilny")</f>
        <v/>
      </c>
      <c r="H115">
        <f>IF(AND(ISNUMBER(G115), F115&lt;4), (G115*(F115^3))/(2*(1-(F115/4))^2), 0)</f>
        <v/>
      </c>
      <c r="I115">
        <f>IF(D115&gt;0, H115/D115, 0)</f>
        <v/>
      </c>
    </row>
    <row r="116">
      <c r="A116" t="n">
        <v>6</v>
      </c>
      <c r="B116" t="n">
        <v>30</v>
      </c>
      <c r="C116" t="n">
        <v>55</v>
      </c>
      <c r="D116">
        <f>IFERROR(60/AVERAGE($B$111:B116), 0)</f>
        <v/>
      </c>
      <c r="E116">
        <f>60/AVERAGE($C$111:C116)</f>
        <v/>
      </c>
      <c r="F116">
        <f>D116/E116</f>
        <v/>
      </c>
      <c r="G116">
        <f>IF(F116&lt;4, 1/(1 + F116 + (F116^2/(2*(1-(F116/4))))), "Niestabilny")</f>
        <v/>
      </c>
      <c r="H116">
        <f>IF(AND(ISNUMBER(G116), F116&lt;4), (G116*(F116^3))/(2*(1-(F116/4))^2), 0)</f>
        <v/>
      </c>
      <c r="I116">
        <f>IF(D116&gt;0, H116/D116, 0)</f>
        <v/>
      </c>
    </row>
    <row r="117">
      <c r="A117" t="n">
        <v>7</v>
      </c>
      <c r="B117" t="n">
        <v>25</v>
      </c>
      <c r="C117" t="n">
        <v>65</v>
      </c>
      <c r="D117">
        <f>IFERROR(60/AVERAGE($B$111:B117), 0)</f>
        <v/>
      </c>
      <c r="E117">
        <f>60/AVERAGE($C$111:C117)</f>
        <v/>
      </c>
      <c r="F117">
        <f>D117/E117</f>
        <v/>
      </c>
      <c r="G117">
        <f>IF(F117&lt;4, 1/(1 + F117 + (F117^2/(2*(1-(F117/4))))), "Niestabilny")</f>
        <v/>
      </c>
      <c r="H117">
        <f>IF(AND(ISNUMBER(G117), F117&lt;4), (G117*(F117^3))/(2*(1-(F117/4))^2), 0)</f>
        <v/>
      </c>
      <c r="I117">
        <f>IF(D117&gt;0, H117/D117, 0)</f>
        <v/>
      </c>
    </row>
    <row r="118">
      <c r="A118" t="n">
        <v>8</v>
      </c>
      <c r="B118" t="n">
        <v>5</v>
      </c>
      <c r="C118" t="n">
        <v>60</v>
      </c>
      <c r="D118">
        <f>IFERROR(60/AVERAGE($B$111:B118), 0)</f>
        <v/>
      </c>
      <c r="E118">
        <f>60/AVERAGE($C$111:C118)</f>
        <v/>
      </c>
      <c r="F118">
        <f>D118/E118</f>
        <v/>
      </c>
      <c r="G118">
        <f>IF(F118&lt;4, 1/(1 + F118 + (F118^2/(2*(1-(F118/4))))), "Niestabilny")</f>
        <v/>
      </c>
      <c r="H118">
        <f>IF(AND(ISNUMBER(G118), F118&lt;4), (G118*(F118^3))/(2*(1-(F118/4))^2), 0)</f>
        <v/>
      </c>
      <c r="I118">
        <f>IF(D118&gt;0, H118/D118, 0)</f>
        <v/>
      </c>
    </row>
    <row r="119">
      <c r="A119" t="n">
        <v>9</v>
      </c>
      <c r="B119" t="n">
        <v>15</v>
      </c>
      <c r="C119" t="n">
        <v>60</v>
      </c>
      <c r="D119">
        <f>IFERROR(60/AVERAGE($B$111:B119), 0)</f>
        <v/>
      </c>
      <c r="E119">
        <f>60/AVERAGE($C$111:C119)</f>
        <v/>
      </c>
      <c r="F119">
        <f>D119/E119</f>
        <v/>
      </c>
      <c r="G119">
        <f>IF(F119&lt;4, 1/(1 + F119 + (F119^2/(2*(1-(F119/4))))), "Niestabilny")</f>
        <v/>
      </c>
      <c r="H119">
        <f>IF(AND(ISNUMBER(G119), F119&lt;4), (G119*(F119^3))/(2*(1-(F119/4))^2), 0)</f>
        <v/>
      </c>
      <c r="I119">
        <f>IF(D119&gt;0, H119/D119, 0)</f>
        <v/>
      </c>
    </row>
    <row r="120">
      <c r="A120" t="n">
        <v>10</v>
      </c>
      <c r="B120" t="n">
        <v>15</v>
      </c>
      <c r="C120" t="n">
        <v>70</v>
      </c>
      <c r="D120">
        <f>IFERROR(60/AVERAGE($B$111:B120), 0)</f>
        <v/>
      </c>
      <c r="E120">
        <f>60/AVERAGE($C$111:C120)</f>
        <v/>
      </c>
      <c r="F120">
        <f>D120/E120</f>
        <v/>
      </c>
      <c r="G120">
        <f>IF(F120&lt;4, 1/(1 + F120 + (F120^2/(2*(1-(F120/4))))), "Niestabilny")</f>
        <v/>
      </c>
      <c r="H120">
        <f>IF(AND(ISNUMBER(G120), F120&lt;4), (G120*(F120^3))/(2*(1-(F120/4))^2), 0)</f>
        <v/>
      </c>
      <c r="I120">
        <f>IF(D120&gt;0, H120/D120, 0)</f>
        <v/>
      </c>
    </row>
    <row r="121">
      <c r="A121" t="n">
        <v>11</v>
      </c>
      <c r="B121" t="n">
        <v>10</v>
      </c>
      <c r="C121" t="n">
        <v>65</v>
      </c>
      <c r="D121">
        <f>IFERROR(60/AVERAGE($B$111:B121), 0)</f>
        <v/>
      </c>
      <c r="E121">
        <f>60/AVERAGE($C$111:C121)</f>
        <v/>
      </c>
      <c r="F121">
        <f>D121/E121</f>
        <v/>
      </c>
      <c r="G121">
        <f>IF(F121&lt;4, 1/(1 + F121 + (F121^2/(2*(1-(F121/4))))), "Niestabilny")</f>
        <v/>
      </c>
      <c r="H121">
        <f>IF(AND(ISNUMBER(G121), F121&lt;4), (G121*(F121^3))/(2*(1-(F121/4))^2), 0)</f>
        <v/>
      </c>
      <c r="I121">
        <f>IF(D121&gt;0, H121/D121, 0)</f>
        <v/>
      </c>
    </row>
    <row r="122">
      <c r="A122" t="n">
        <v>12</v>
      </c>
      <c r="B122" t="n">
        <v>30</v>
      </c>
      <c r="C122" t="n">
        <v>70</v>
      </c>
      <c r="D122">
        <f>IFERROR(60/AVERAGE($B$111:B122), 0)</f>
        <v/>
      </c>
      <c r="E122">
        <f>60/AVERAGE($C$111:C122)</f>
        <v/>
      </c>
      <c r="F122">
        <f>D122/E122</f>
        <v/>
      </c>
      <c r="G122">
        <f>IF(F122&lt;4, 1/(1 + F122 + (F122^2/(2*(1-(F122/4))))), "Niestabilny")</f>
        <v/>
      </c>
      <c r="H122">
        <f>IF(AND(ISNUMBER(G122), F122&lt;4), (G122*(F122^3))/(2*(1-(F122/4))^2), 0)</f>
        <v/>
      </c>
      <c r="I122">
        <f>IF(D122&gt;0, H122/D122, 0)</f>
        <v/>
      </c>
    </row>
    <row r="123">
      <c r="A123" t="n">
        <v>13</v>
      </c>
      <c r="B123" t="n">
        <v>40</v>
      </c>
      <c r="C123" t="n">
        <v>65</v>
      </c>
      <c r="D123">
        <f>IFERROR(60/AVERAGE($B$111:B123), 0)</f>
        <v/>
      </c>
      <c r="E123">
        <f>60/AVERAGE($C$111:C123)</f>
        <v/>
      </c>
      <c r="F123">
        <f>D123/E123</f>
        <v/>
      </c>
      <c r="G123">
        <f>IF(F123&lt;4, 1/(1 + F123 + (F123^2/(2*(1-(F123/4))))), "Niestabilny")</f>
        <v/>
      </c>
      <c r="H123">
        <f>IF(AND(ISNUMBER(G123), F123&lt;4), (G123*(F123^3))/(2*(1-(F123/4))^2), 0)</f>
        <v/>
      </c>
      <c r="I123">
        <f>IF(D123&gt;0, H123/D123, 0)</f>
        <v/>
      </c>
    </row>
    <row r="124">
      <c r="A124" t="n">
        <v>14</v>
      </c>
      <c r="B124" t="n">
        <v>40</v>
      </c>
      <c r="C124" t="n">
        <v>75</v>
      </c>
      <c r="D124">
        <f>IFERROR(60/AVERAGE($B$111:B124), 0)</f>
        <v/>
      </c>
      <c r="E124">
        <f>60/AVERAGE($C$111:C124)</f>
        <v/>
      </c>
      <c r="F124">
        <f>D124/E124</f>
        <v/>
      </c>
      <c r="G124">
        <f>IF(F124&lt;4, 1/(1 + F124 + (F124^2/(2*(1-(F124/4))))), "Niestabilny")</f>
        <v/>
      </c>
      <c r="H124">
        <f>IF(AND(ISNUMBER(G124), F124&lt;4), (G124*(F124^3))/(2*(1-(F124/4))^2), 0)</f>
        <v/>
      </c>
      <c r="I124">
        <f>IF(D124&gt;0, H124/D124, 0)</f>
        <v/>
      </c>
    </row>
    <row r="125">
      <c r="A125" t="n">
        <v>15</v>
      </c>
      <c r="B125" t="n">
        <v>40</v>
      </c>
      <c r="C125" t="n">
        <v>60</v>
      </c>
      <c r="D125">
        <f>IFERROR(60/AVERAGE($B$111:B125), 0)</f>
        <v/>
      </c>
      <c r="E125">
        <f>60/AVERAGE($C$111:C125)</f>
        <v/>
      </c>
      <c r="F125">
        <f>D125/E125</f>
        <v/>
      </c>
      <c r="G125">
        <f>IF(F125&lt;4, 1/(1 + F125 + (F125^2/(2*(1-(F125/4))))), "Niestabilny")</f>
        <v/>
      </c>
      <c r="H125">
        <f>IF(AND(ISNUMBER(G125), F125&lt;4), (G125*(F125^3))/(2*(1-(F125/4))^2), 0)</f>
        <v/>
      </c>
      <c r="I125">
        <f>IF(D125&gt;0, H125/D125, 0)</f>
        <v/>
      </c>
    </row>
    <row r="126">
      <c r="A126" t="n">
        <v>16</v>
      </c>
      <c r="B126" t="n">
        <v>50</v>
      </c>
      <c r="C126" t="n">
        <v>50</v>
      </c>
      <c r="D126">
        <f>IFERROR(60/AVERAGE($B$111:B126), 0)</f>
        <v/>
      </c>
      <c r="E126">
        <f>60/AVERAGE($C$111:C126)</f>
        <v/>
      </c>
      <c r="F126">
        <f>D126/E126</f>
        <v/>
      </c>
      <c r="G126">
        <f>IF(F126&lt;4, 1/(1 + F126 + (F126^2/(2*(1-(F126/4))))), "Niestabilny")</f>
        <v/>
      </c>
      <c r="H126">
        <f>IF(AND(ISNUMBER(G126), F126&lt;4), (G126*(F126^3))/(2*(1-(F126/4))^2), 0)</f>
        <v/>
      </c>
      <c r="I126">
        <f>IF(D126&gt;0, H126/D126, 0)</f>
        <v/>
      </c>
    </row>
    <row r="127">
      <c r="A127" t="n">
        <v>17</v>
      </c>
      <c r="B127" t="n">
        <v>50</v>
      </c>
      <c r="C127" t="n">
        <v>65</v>
      </c>
      <c r="D127">
        <f>IFERROR(60/AVERAGE($B$111:B127), 0)</f>
        <v/>
      </c>
      <c r="E127">
        <f>60/AVERAGE($C$111:C127)</f>
        <v/>
      </c>
      <c r="F127">
        <f>D127/E127</f>
        <v/>
      </c>
      <c r="G127">
        <f>IF(F127&lt;4, 1/(1 + F127 + (F127^2/(2*(1-(F127/4))))), "Niestabilny")</f>
        <v/>
      </c>
      <c r="H127">
        <f>IF(AND(ISNUMBER(G127), F127&lt;4), (G127*(F127^3))/(2*(1-(F127/4))^2), 0)</f>
        <v/>
      </c>
      <c r="I127">
        <f>IF(D127&gt;0, H127/D127, 0)</f>
        <v/>
      </c>
    </row>
    <row r="128">
      <c r="A128" t="n">
        <v>18</v>
      </c>
      <c r="B128" t="n">
        <v>55</v>
      </c>
      <c r="C128" t="n">
        <v>65</v>
      </c>
      <c r="D128">
        <f>IFERROR(60/AVERAGE($B$111:B128), 0)</f>
        <v/>
      </c>
      <c r="E128">
        <f>60/AVERAGE($C$111:C128)</f>
        <v/>
      </c>
      <c r="F128">
        <f>D128/E128</f>
        <v/>
      </c>
      <c r="G128">
        <f>IF(F128&lt;4, 1/(1 + F128 + (F128^2/(2*(1-(F128/4))))), "Niestabilny")</f>
        <v/>
      </c>
      <c r="H128">
        <f>IF(AND(ISNUMBER(G128), F128&lt;4), (G128*(F128^3))/(2*(1-(F128/4))^2), 0)</f>
        <v/>
      </c>
      <c r="I128">
        <f>IF(D128&gt;0, H128/D128, 0)</f>
        <v/>
      </c>
    </row>
    <row r="129">
      <c r="A129" t="n">
        <v>19</v>
      </c>
      <c r="B129" t="n">
        <v>45</v>
      </c>
      <c r="C129" t="n">
        <v>65</v>
      </c>
      <c r="D129">
        <f>IFERROR(60/AVERAGE($B$111:B129), 0)</f>
        <v/>
      </c>
      <c r="E129">
        <f>60/AVERAGE($C$111:C129)</f>
        <v/>
      </c>
      <c r="F129">
        <f>D129/E129</f>
        <v/>
      </c>
      <c r="G129">
        <f>IF(F129&lt;4, 1/(1 + F129 + (F129^2/(2*(1-(F129/4))))), "Niestabilny")</f>
        <v/>
      </c>
      <c r="H129">
        <f>IF(AND(ISNUMBER(G129), F129&lt;4), (G129*(F129^3))/(2*(1-(F129/4))^2), 0)</f>
        <v/>
      </c>
      <c r="I129">
        <f>IF(D129&gt;0, H129/D129, 0)</f>
        <v/>
      </c>
    </row>
    <row r="130">
      <c r="A130" t="n">
        <v>20</v>
      </c>
      <c r="B130" t="n">
        <v>55</v>
      </c>
      <c r="C130" t="n">
        <v>75</v>
      </c>
      <c r="D130">
        <f>IFERROR(60/AVERAGE($B$111:B130), 0)</f>
        <v/>
      </c>
      <c r="E130">
        <f>60/AVERAGE($C$111:C130)</f>
        <v/>
      </c>
      <c r="F130">
        <f>D130/E130</f>
        <v/>
      </c>
      <c r="G130">
        <f>IF(F130&lt;4, 1/(1 + F130 + (F130^2/(2*(1-(F130/4))))), "Niestabilny")</f>
        <v/>
      </c>
      <c r="H130">
        <f>IF(AND(ISNUMBER(G130), F130&lt;4), (G130*(F130^3))/(2*(1-(F130/4))^2), 0)</f>
        <v/>
      </c>
      <c r="I130">
        <f>IF(D130&gt;0, H130/D130, 0)</f>
        <v/>
      </c>
    </row>
    <row r="131">
      <c r="A131" t="n">
        <v>21</v>
      </c>
      <c r="B131" t="n">
        <v>55</v>
      </c>
      <c r="C131" t="n">
        <v>70</v>
      </c>
      <c r="D131">
        <f>IFERROR(60/AVERAGE($B$111:B131), 0)</f>
        <v/>
      </c>
      <c r="E131">
        <f>60/AVERAGE($C$111:C131)</f>
        <v/>
      </c>
      <c r="F131">
        <f>D131/E131</f>
        <v/>
      </c>
      <c r="G131">
        <f>IF(F131&lt;4, 1/(1 + F131 + (F131^2/(2*(1-(F131/4))))), "Niestabilny")</f>
        <v/>
      </c>
      <c r="H131">
        <f>IF(AND(ISNUMBER(G131), F131&lt;4), (G131*(F131^3))/(2*(1-(F131/4))^2), 0)</f>
        <v/>
      </c>
      <c r="I131">
        <f>IF(D131&gt;0, H131/D131, 0)</f>
        <v/>
      </c>
    </row>
    <row r="132">
      <c r="A132" t="n">
        <v>22</v>
      </c>
      <c r="B132" t="n">
        <v>50</v>
      </c>
      <c r="C132" t="n">
        <v>60</v>
      </c>
      <c r="D132">
        <f>IFERROR(60/AVERAGE($B$111:B132), 0)</f>
        <v/>
      </c>
      <c r="E132">
        <f>60/AVERAGE($C$111:C132)</f>
        <v/>
      </c>
      <c r="F132">
        <f>D132/E132</f>
        <v/>
      </c>
      <c r="G132">
        <f>IF(F132&lt;4, 1/(1 + F132 + (F132^2/(2*(1-(F132/4))))), "Niestabilny")</f>
        <v/>
      </c>
      <c r="H132">
        <f>IF(AND(ISNUMBER(G132), F132&lt;4), (G132*(F132^3))/(2*(1-(F132/4))^2), 0)</f>
        <v/>
      </c>
      <c r="I132">
        <f>IF(D132&gt;0, H132/D132, 0)</f>
        <v/>
      </c>
    </row>
    <row r="133">
      <c r="A133" t="n">
        <v>23</v>
      </c>
      <c r="B133" t="n">
        <v>45</v>
      </c>
      <c r="C133" t="n">
        <v>65</v>
      </c>
      <c r="D133">
        <f>IFERROR(60/AVERAGE($B$111:B133), 0)</f>
        <v/>
      </c>
      <c r="E133">
        <f>60/AVERAGE($C$111:C133)</f>
        <v/>
      </c>
      <c r="F133">
        <f>D133/E133</f>
        <v/>
      </c>
      <c r="G133">
        <f>IF(F133&lt;4, 1/(1 + F133 + (F133^2/(2*(1-(F133/4))))), "Niestabilny")</f>
        <v/>
      </c>
      <c r="H133">
        <f>IF(AND(ISNUMBER(G133), F133&lt;4), (G133*(F133^3))/(2*(1-(F133/4))^2), 0)</f>
        <v/>
      </c>
      <c r="I133">
        <f>IF(D133&gt;0, H133/D133, 0)</f>
        <v/>
      </c>
    </row>
    <row r="134">
      <c r="A134" t="n">
        <v>24</v>
      </c>
      <c r="B134" t="n">
        <v>45</v>
      </c>
      <c r="C134" t="n">
        <v>62</v>
      </c>
      <c r="D134">
        <f>IFERROR(60/AVERAGE($B$111:B134), 0)</f>
        <v/>
      </c>
      <c r="E134">
        <f>60/AVERAGE($C$111:C134)</f>
        <v/>
      </c>
      <c r="F134">
        <f>D134/E134</f>
        <v/>
      </c>
      <c r="G134">
        <f>IF(F134&lt;4, 1/(1 + F134 + (F134^2/(2*(1-(F134/4))))), "Niestabilny")</f>
        <v/>
      </c>
      <c r="H134">
        <f>IF(AND(ISNUMBER(G134), F134&lt;4), (G134*(F134^3))/(2*(1-(F134/4))^2), 0)</f>
        <v/>
      </c>
      <c r="I134">
        <f>IF(D134&gt;0, H134/D134, 0)</f>
        <v/>
      </c>
    </row>
    <row r="135">
      <c r="A135" t="n">
        <v>25</v>
      </c>
      <c r="B135" t="n">
        <v>50</v>
      </c>
      <c r="C135" t="n">
        <v>60</v>
      </c>
      <c r="D135">
        <f>IFERROR(60/AVERAGE($B$111:B135), 0)</f>
        <v/>
      </c>
      <c r="E135">
        <f>60/AVERAGE($C$111:C135)</f>
        <v/>
      </c>
      <c r="F135">
        <f>D135/E135</f>
        <v/>
      </c>
      <c r="G135">
        <f>IF(F135&lt;4, 1/(1 + F135 + (F135^2/(2*(1-(F135/4))))), "Niestabilny")</f>
        <v/>
      </c>
      <c r="H135">
        <f>IF(AND(ISNUMBER(G135), F135&lt;4), (G135*(F135^3))/(2*(1-(F135/4))^2), 0)</f>
        <v/>
      </c>
      <c r="I135">
        <f>IF(D135&gt;0, H135/D135, 0)</f>
        <v/>
      </c>
    </row>
    <row r="136">
      <c r="A136" t="n">
        <v>26</v>
      </c>
      <c r="B136" t="n">
        <v>10</v>
      </c>
      <c r="C136" t="n">
        <v>40</v>
      </c>
      <c r="D136">
        <f>IFERROR(60/AVERAGE($B$111:B136), 0)</f>
        <v/>
      </c>
      <c r="E136">
        <f>60/AVERAGE($C$111:C136)</f>
        <v/>
      </c>
      <c r="F136">
        <f>D136/E136</f>
        <v/>
      </c>
      <c r="G136">
        <f>IF(F136&lt;4, 1/(1 + F136 + (F136^2/(2*(1-(F136/4))))), "Niestabilny")</f>
        <v/>
      </c>
      <c r="H136">
        <f>IF(AND(ISNUMBER(G136), F136&lt;4), (G136*(F136^3))/(2*(1-(F136/4))^2), 0)</f>
        <v/>
      </c>
      <c r="I136">
        <f>IF(D136&gt;0, H136/D136, 0)</f>
        <v/>
      </c>
    </row>
    <row r="137">
      <c r="A137" t="n">
        <v>27</v>
      </c>
      <c r="B137" t="n">
        <v>25</v>
      </c>
      <c r="C137" t="n">
        <v>55</v>
      </c>
      <c r="D137">
        <f>IFERROR(60/AVERAGE($B$111:B137), 0)</f>
        <v/>
      </c>
      <c r="E137">
        <f>60/AVERAGE($C$111:C137)</f>
        <v/>
      </c>
      <c r="F137">
        <f>D137/E137</f>
        <v/>
      </c>
      <c r="G137">
        <f>IF(F137&lt;4, 1/(1 + F137 + (F137^2/(2*(1-(F137/4))))), "Niestabilny")</f>
        <v/>
      </c>
      <c r="H137">
        <f>IF(AND(ISNUMBER(G137), F137&lt;4), (G137*(F137^3))/(2*(1-(F137/4))^2), 0)</f>
        <v/>
      </c>
      <c r="I137">
        <f>IF(D137&gt;0, H137/D137, 0)</f>
        <v/>
      </c>
    </row>
    <row r="138">
      <c r="A138" t="n">
        <v>28</v>
      </c>
      <c r="B138" t="n">
        <v>25</v>
      </c>
      <c r="C138" t="n">
        <v>75</v>
      </c>
      <c r="D138">
        <f>IFERROR(60/AVERAGE($B$111:B138), 0)</f>
        <v/>
      </c>
      <c r="E138">
        <f>60/AVERAGE($C$111:C138)</f>
        <v/>
      </c>
      <c r="F138">
        <f>D138/E138</f>
        <v/>
      </c>
      <c r="G138">
        <f>IF(F138&lt;4, 1/(1 + F138 + (F138^2/(2*(1-(F138/4))))), "Niestabilny")</f>
        <v/>
      </c>
      <c r="H138">
        <f>IF(AND(ISNUMBER(G138), F138&lt;4), (G138*(F138^3))/(2*(1-(F138/4))^2), 0)</f>
        <v/>
      </c>
      <c r="I138">
        <f>IF(D138&gt;0, H138/D138, 0)</f>
        <v/>
      </c>
    </row>
    <row r="139">
      <c r="A139" t="n">
        <v>29</v>
      </c>
      <c r="B139" t="n">
        <v>55</v>
      </c>
      <c r="C139" t="n">
        <v>60</v>
      </c>
      <c r="D139">
        <f>IFERROR(60/AVERAGE($B$111:B139), 0)</f>
        <v/>
      </c>
      <c r="E139">
        <f>60/AVERAGE($C$111:C139)</f>
        <v/>
      </c>
      <c r="F139">
        <f>D139/E139</f>
        <v/>
      </c>
      <c r="G139">
        <f>IF(F139&lt;4, 1/(1 + F139 + (F139^2/(2*(1-(F139/4))))), "Niestabilny")</f>
        <v/>
      </c>
      <c r="H139">
        <f>IF(AND(ISNUMBER(G139), F139&lt;4), (G139*(F139^3))/(2*(1-(F139/4))^2), 0)</f>
        <v/>
      </c>
      <c r="I139">
        <f>IF(D139&gt;0, H139/D139, 0)</f>
        <v/>
      </c>
    </row>
    <row r="140">
      <c r="A140" t="n">
        <v>30</v>
      </c>
      <c r="B140" t="n">
        <v>55</v>
      </c>
      <c r="C140" t="n">
        <v>40</v>
      </c>
      <c r="D140">
        <f>IFERROR(60/AVERAGE($B$111:B140), 0)</f>
        <v/>
      </c>
      <c r="E140">
        <f>60/AVERAGE($C$111:C140)</f>
        <v/>
      </c>
      <c r="F140">
        <f>D140/E140</f>
        <v/>
      </c>
      <c r="G140">
        <f>IF(F140&lt;4, 1/(1 + F140 + (F140^2/(2*(1-(F140/4))))), "Niestabilny")</f>
        <v/>
      </c>
      <c r="H140">
        <f>IF(AND(ISNUMBER(G140), F140&lt;4), (G140*(F140^3))/(2*(1-(F140/4))^2), 0)</f>
        <v/>
      </c>
      <c r="I140">
        <f>IF(D140&gt;0, H140/D140, 0)</f>
        <v/>
      </c>
    </row>
    <row r="141">
      <c r="A141" t="n">
        <v>31</v>
      </c>
      <c r="B141" t="n">
        <v>40</v>
      </c>
      <c r="C141" t="n">
        <v>70</v>
      </c>
      <c r="D141">
        <f>IFERROR(60/AVERAGE($B$111:B141), 0)</f>
        <v/>
      </c>
      <c r="E141">
        <f>60/AVERAGE($C$111:C141)</f>
        <v/>
      </c>
      <c r="F141">
        <f>D141/E141</f>
        <v/>
      </c>
      <c r="G141">
        <f>IF(F141&lt;4, 1/(1 + F141 + (F141^2/(2*(1-(F141/4))))), "Niestabilny")</f>
        <v/>
      </c>
      <c r="H141">
        <f>IF(AND(ISNUMBER(G141), F141&lt;4), (G141*(F141^3))/(2*(1-(F141/4))^2), 0)</f>
        <v/>
      </c>
      <c r="I141">
        <f>IF(D141&gt;0, H141/D141, 0)</f>
        <v/>
      </c>
    </row>
    <row r="142">
      <c r="A142" t="n">
        <v>32</v>
      </c>
      <c r="B142" t="n">
        <v>50</v>
      </c>
      <c r="C142" t="n">
        <v>60</v>
      </c>
      <c r="D142">
        <f>IFERROR(60/AVERAGE($B$111:B142), 0)</f>
        <v/>
      </c>
      <c r="E142">
        <f>60/AVERAGE($C$111:C142)</f>
        <v/>
      </c>
      <c r="F142">
        <f>D142/E142</f>
        <v/>
      </c>
      <c r="G142">
        <f>IF(F142&lt;4, 1/(1 + F142 + (F142^2/(2*(1-(F142/4))))), "Niestabilny")</f>
        <v/>
      </c>
      <c r="H142">
        <f>IF(AND(ISNUMBER(G142), F142&lt;4), (G142*(F142^3))/(2*(1-(F142/4))^2), 0)</f>
        <v/>
      </c>
      <c r="I142">
        <f>IF(D142&gt;0, H142/D142,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2026-03-02T11:40:17Z</dcterms:created>
  <dcterms:modified xsi:type="dcterms:W3CDTF">2026-03-02T11:40:17Z</dcterms:modified>
</cp:coreProperties>
</file>